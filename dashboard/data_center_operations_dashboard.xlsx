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862f8f84f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235356366e64d56"/>
    <x:sheet xmlns:r="http://schemas.openxmlformats.org/officeDocument/2006/relationships" name="KPI_Tracker" sheetId="2" r:id="Ra2c74b21bfaa422a"/>
    <x:sheet xmlns:r="http://schemas.openxmlformats.org/officeDocument/2006/relationships" name="Incident_Log" sheetId="3" r:id="Rd8e11921b8a54ed6"/>
    <x:sheet xmlns:r="http://schemas.openxmlformats.org/officeDocument/2006/relationships" name="Capacity" sheetId="4" r:id="R6300f1c4fdee4fe9"/>
    <x:sheet xmlns:r="http://schemas.openxmlformats.org/officeDocument/2006/relationships" name="PM_Checklist" sheetId="5" r:id="Ra33344c1c04a4205"/>
    <x:sheet xmlns:r="http://schemas.openxmlformats.org/officeDocument/2006/relationships" name="Lists" sheetId="6" r:id="Rf22f28370af7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0.00"/>
    <x:numFmt numFmtId="202" formatCode="0"/>
    <x:numFmt numFmtId="203" formatCode="yyyy-mm-dd"/>
    <x:numFmt numFmtId="204" formatCode="0.0%"/>
    <x:numFmt numFmtId="205" formatCode="0.00%"/>
    <x:numFmt numFmtId="206" formatCode="mmm yy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6"/>
      <x:name val="Carlito"/>
    </x:font>
    <x:font>
      <x:i/>
      <x:sz val="1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F4E79"/>
      </x:patternFill>
    </x:fill>
    <x:fill>
      <x:patternFill patternType="solid">
        <x:fgColor rgb="EAF2F8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5" fontId="3" fillId="4" borderId="0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3" fillId="4" borderId="1" xfId="0" applyNumberFormat="1" applyFont="1" applyFill="1" applyBorder="1" applyAlignment="1">
      <x:alignment horizontal="center"/>
    </x:xf>
    <x:xf numFmtId="205" fontId="0" fillId="0" borderId="1" xfId="0" applyNumberFormat="1" applyFont="1" applyFill="1" applyBorder="1"/>
    <x:xf numFmtId="204" fontId="3" fillId="4" borderId="0" xfId="0" applyNumberFormat="1" applyFont="1" applyFill="1" applyBorder="1" applyAlignment="1">
      <x:alignment horizontal="center"/>
    </x:xf>
    <x:xf numFmtId="204" fontId="3" fillId="4" borderId="1" xfId="0" applyNumberFormat="1" applyFont="1" applyFill="1" applyBorder="1" applyAlignment="1">
      <x:alignment horizontal="center"/>
    </x:xf>
    <x:xf numFmtId="202" fontId="3" fillId="4" borderId="0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</x:font>
      <x:fill>
        <x:patternFill>
          <x:bgColor rgb="F4CCCC"/>
        </x:patternFill>
      </x:fill>
    </x:dxf>
    <x:dxf>
      <x:fill>
        <x:patternFill>
          <x:bgColor rgb="D9EAD3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ill>
        <x:patternFill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88b63d82147b3" /><Relationship Type="http://schemas.openxmlformats.org/officeDocument/2006/relationships/theme" Target="/xl/theme/theme1.xml" Id="Rb6599fc6beb74263" /><Relationship Type="http://schemas.openxmlformats.org/officeDocument/2006/relationships/sharedStrings" Target="/xl/sharedStrings.xml" Id="Rb60e84e5900a42c0" /><Relationship Type="http://schemas.openxmlformats.org/officeDocument/2006/relationships/worksheet" Target="/xl/worksheets/sheet1.xml" Id="Ra235356366e64d56" /><Relationship Type="http://schemas.openxmlformats.org/officeDocument/2006/relationships/worksheet" Target="/xl/worksheets/sheet2.xml" Id="Ra2c74b21bfaa422a" /><Relationship Type="http://schemas.openxmlformats.org/officeDocument/2006/relationships/worksheet" Target="/xl/worksheets/sheet3.xml" Id="Rd8e11921b8a54ed6" /><Relationship Type="http://schemas.openxmlformats.org/officeDocument/2006/relationships/worksheet" Target="/xl/worksheets/sheet4.xml" Id="R6300f1c4fdee4fe9" /><Relationship Type="http://schemas.openxmlformats.org/officeDocument/2006/relationships/worksheet" Target="/xl/worksheets/sheet5.xml" Id="Ra33344c1c04a4205" /><Relationship Type="http://schemas.openxmlformats.org/officeDocument/2006/relationships/worksheet" Target="/xl/worksheets/sheet6.xml" Id="Rf22f28370af74a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abf905851f48f8" /><Relationship Type="http://schemas.openxmlformats.org/officeDocument/2006/relationships/chart" Target="/xl/drawings/charts/chart2.xml" Id="R6affa6c60227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KPI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Uptime %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'Dashboard'!$K$3:$K$6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MTTR Min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'Dashboard'!$L$3:$L$6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SLA %</c:v>
          </c:tx>
          <c:cat>
            <c:strRef>
              <c:f>'Dashboard'!$J$3:$J$6</c:f>
              <c:strCache>
                <c:ptCount val="0"/>
              </c:strCache>
            </c:strRef>
          </c:cat>
          <c:val>
            <c:numRef>
              <c:f>'Dashboard'!$M$3:$M$6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Utilization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Rack Util %</c:v>
          </c:tx>
          <c:cat>
            <c:strRef>
              <c:f>'Dashboard'!$A$18:$A$21</c:f>
              <c:strCache>
                <c:ptCount val="0"/>
              </c:strCache>
            </c:strRef>
          </c:cat>
          <c:val>
            <c:numRef>
              <c:f>'Dashboard'!$B$18:$B$21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Power Util %</c:v>
          </c:tx>
          <c:cat>
            <c:strRef>
              <c:f>'Dashboard'!$A$18:$A$21</c:f>
              <c:strCache>
                <c:ptCount val="0"/>
              </c:strCache>
            </c:strRef>
          </c:cat>
          <c:val>
            <c:numRef>
              <c:f>'Dashboard'!$C$18:$C$21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Cooling Util %</c:v>
          </c:tx>
          <c:cat>
            <c:strRef>
              <c:f>'Dashboard'!$A$18:$A$21</c:f>
              <c:strCache>
                <c:ptCount val="0"/>
              </c:strCache>
            </c:strRef>
          </c:cat>
          <c:val>
            <c:numRef>
              <c:f>'Dashboard'!$D$18:$D$21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abf905851f48f8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ffa6c6022743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PITracker" displayName="KPITracker" ref="A1:H5" headerRowCount="1">
  <x:tableColumns count="8">
    <x:tableColumn id="1" name="Month"/>
    <x:tableColumn id="2" name="Uptime %"/>
    <x:tableColumn id="3" name="MTTR Min"/>
    <x:tableColumn id="4" name="MTBF Hours"/>
    <x:tableColumn id="5" name="SLA Compliance %"/>
    <x:tableColumn id="6" name="PM Completion %"/>
    <x:tableColumn id="7" name="Repeat Incident Rate %"/>
    <x:tableColumn id="8" name="Open Risk Items"/>
  </x:tableColumns>
  <x:tableStyleInfo name="TableStyleMedium2" showRowStripes="1"/>
</x:table>
</file>

<file path=xl/tables/table2.xml><?xml version="1.0" encoding="utf-8"?>
<x:table xmlns:x="http://schemas.openxmlformats.org/spreadsheetml/2006/main" id="2" name="IncidentLog" displayName="IncidentLog" ref="A1:L8" headerRowCount="1">
  <x:tableColumns count="12">
    <x:tableColumn id="1" name="Incident ID"/>
    <x:tableColumn id="2" name="Date"/>
    <x:tableColumn id="3" name="Severity"/>
    <x:tableColumn id="4" name="Zone"/>
    <x:tableColumn id="5" name="System"/>
    <x:tableColumn id="6" name="Issue"/>
    <x:tableColumn id="7" name="Detected By"/>
    <x:tableColumn id="8" name="TTA Min"/>
    <x:tableColumn id="9" name="TTR Min"/>
    <x:tableColumn id="10" name="Root Cause"/>
    <x:tableColumn id="11" name="Preventive Action"/>
    <x:tableColumn id="12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apacityTracker" displayName="CapacityTracker" ref="A1:K5" headerRowCount="1">
  <x:tableColumns count="11">
    <x:tableColumn id="1" name="Zone"/>
    <x:tableColumn id="2" name="Total Racks"/>
    <x:tableColumn id="3" name="Used Racks"/>
    <x:tableColumn id="4" name="Rack Util %"/>
    <x:tableColumn id="5" name="Power Capacity kW"/>
    <x:tableColumn id="6" name="Power Used kW"/>
    <x:tableColumn id="7" name="Power Util %"/>
    <x:tableColumn id="8" name="Cooling Capacity kW"/>
    <x:tableColumn id="9" name="Cooling Used kW"/>
    <x:tableColumn id="10" name="Cooling Util %"/>
    <x:tableColumn id="11" name="Risk Flag"/>
  </x:tableColumns>
  <x:tableStyleInfo name="TableStyleMedium2" showRowStripes="1"/>
</x:table>
</file>

<file path=xl/tables/table4.xml><?xml version="1.0" encoding="utf-8"?>
<x:table xmlns:x="http://schemas.openxmlformats.org/spreadsheetml/2006/main" id="4" name="PMChecklist" displayName="PMChecklist" ref="A1:H6" headerRowCount="1">
  <x:tableColumns count="8">
    <x:tableColumn id="1" name="Task ID"/>
    <x:tableColumn id="2" name="Frequency"/>
    <x:tableColumn id="3" name="Area"/>
    <x:tableColumn id="4" name="Task"/>
    <x:tableColumn id="5" name="Owner"/>
    <x:tableColumn id="6" name="Due Date"/>
    <x:tableColumn id="7" name="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e40cf03af47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0a0dc1c904a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ed8ef3399e41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23305a61074f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18d9e14b2a4b8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0" customHeight="1">
      <x:c r="A1" s="70" t="str">
        <x:v>Data Center Operations Dashboard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J2" s="6" t="str">
        <x:v>Month</x:v>
      </x:c>
      <x:c r="K2" s="6" t="str">
        <x:v>Uptime %</x:v>
      </x:c>
      <x:c r="L2" s="6" t="str">
        <x:v>MTTR Min</x:v>
      </x:c>
      <x:c r="M2" s="6" t="str">
        <x:v>SLA %</x:v>
      </x:c>
    </x:row>
    <x:row r="3">
      <x:c r="A3" s="34" t="str">
        <x:v>Executive KPI Summary</x:v>
      </x:c>
      <x:c r="J3" s="68" t="n">
        <x:f>KPI_Tracker!A2</x:f>
        <x:v>46023</x:v>
      </x:c>
      <x:c r="K3" s="53" t="n">
        <x:f>KPI_Tracker!B2/100</x:f>
        <x:v>0.9991</x:v>
      </x:c>
      <x:c r="L3" t="n">
        <x:f>KPI_Tracker!C2</x:f>
        <x:v>75</x:v>
      </x:c>
      <x:c r="M3" s="22" t="n">
        <x:f>KPI_Tracker!E2/100</x:f>
        <x:v>0.94</x:v>
      </x:c>
    </x:row>
    <x:row r="4">
      <x:c r="J4" s="68" t="n">
        <x:f>KPI_Tracker!A3</x:f>
        <x:v>46054</x:v>
      </x:c>
      <x:c r="K4" s="53" t="n">
        <x:f>KPI_Tracker!B3/100</x:f>
        <x:v>0.9994</x:v>
      </x:c>
      <x:c r="L4" t="n">
        <x:f>KPI_Tracker!C3</x:f>
        <x:v>62</x:v>
      </x:c>
      <x:c r="M4" s="22" t="n">
        <x:f>KPI_Tracker!E3/100</x:f>
        <x:v>0.96</x:v>
      </x:c>
    </x:row>
    <x:row r="5">
      <x:c r="A5" s="38" t="str">
        <x:v>Uptime %</x:v>
      </x:c>
      <x:c r="C5" s="38" t="str">
        <x:v>MTTR Min</x:v>
      </x:c>
      <x:c r="E5" s="38" t="str">
        <x:v>SLA Compliance</x:v>
      </x:c>
      <x:c r="G5" s="38" t="str">
        <x:v>PM Completion</x:v>
      </x:c>
      <x:c r="J5" s="68" t="n">
        <x:f>KPI_Tracker!A4</x:f>
        <x:v>46082</x:v>
      </x:c>
      <x:c r="K5" s="53" t="n">
        <x:f>KPI_Tracker!B4/100</x:f>
        <x:v>0.9995999999999999</x:v>
      </x:c>
      <x:c r="L5" t="n">
        <x:f>KPI_Tracker!C4</x:f>
        <x:v>54</x:v>
      </x:c>
      <x:c r="M5" s="22" t="n">
        <x:f>KPI_Tracker!E4/100</x:f>
        <x:v>0.97</x:v>
      </x:c>
    </x:row>
    <x:row r="6">
      <x:c r="A6" s="52" t="n">
        <x:f>KPI_Tracker!B5/100</x:f>
        <x:v>0.9997</x:v>
      </x:c>
      <x:c r="B6" s="53"/>
      <x:c r="C6" s="58" t="n">
        <x:f>KPI_Tracker!C5</x:f>
        <x:v>48</x:v>
      </x:c>
      <x:c r="D6" s="16"/>
      <x:c r="E6" s="56" t="n">
        <x:f>KPI_Tracker!E5/100</x:f>
        <x:v>0.98</x:v>
      </x:c>
      <x:c r="F6" s="22"/>
      <x:c r="G6" s="56" t="n">
        <x:f>KPI_Tracker!F5/100</x:f>
        <x:v>0.99</x:v>
      </x:c>
      <x:c r="H6" s="22"/>
      <x:c r="J6" s="68" t="n">
        <x:f>KPI_Tracker!A5</x:f>
        <x:v>46113</x:v>
      </x:c>
      <x:c r="K6" s="53" t="n">
        <x:f>KPI_Tracker!B5/100</x:f>
        <x:v>0.9997</x:v>
      </x:c>
      <x:c r="L6" t="n">
        <x:f>KPI_Tracker!C5</x:f>
        <x:v>48</x:v>
      </x:c>
      <x:c r="M6" s="22" t="n">
        <x:f>KPI_Tracker!E5/100</x:f>
        <x:v>0.98</x:v>
      </x:c>
    </x:row>
    <x:row r="7">
      <x:c r="A7" s="48" t="str">
        <x:v>Target: 99.90%+</x:v>
      </x:c>
      <x:c r="C7" s="48" t="str">
        <x:v>Target: &lt; 60</x:v>
      </x:c>
      <x:c r="E7" s="48" t="str">
        <x:v>Target: 95%+</x:v>
      </x:c>
      <x:c r="G7" s="48" t="str">
        <x:v>Target: 98%+</x:v>
      </x:c>
    </x:row>
    <x:row r="9">
      <x:c r="A9" s="34" t="str">
        <x:v>Operational Summary</x:v>
      </x:c>
    </x:row>
    <x:row r="10">
      <x:c r="A10" s="60" t="str">
        <x:v>Total Incidents</x:v>
      </x:c>
      <x:c r="B10" s="64" t="n">
        <x:f>COUNTA(Incident_Log!A2:A100)</x:f>
        <x:v>7</x:v>
      </x:c>
    </x:row>
    <x:row r="11">
      <x:c r="A11" s="60" t="str">
        <x:v>Sev 1/2 Incidents</x:v>
      </x:c>
      <x:c r="B11" s="64" t="n">
        <x:f>COUNTIF(Incident_Log!C:C,"Sev 1")+COUNTIF(Incident_Log!C:C,"Sev 2")</x:f>
        <x:v>4</x:v>
      </x:c>
    </x:row>
    <x:row r="12">
      <x:c r="A12" s="60" t="str">
        <x:v>Avg Time to Resolve</x:v>
      </x:c>
      <x:c r="B12" s="64" t="n">
        <x:f>AVERAGE(Incident_Log!I2:I100)</x:f>
        <x:v>86.42857142857143</x:v>
      </x:c>
    </x:row>
    <x:row r="13">
      <x:c r="A13" s="60" t="str">
        <x:v>Zones Requiring Review</x:v>
      </x:c>
      <x:c r="B13" s="64" t="n">
        <x:f>COUNTIF(Capacity!K:K,"Review")</x:f>
        <x:v>0</x:v>
      </x:c>
    </x:row>
    <x:row r="16">
      <x:c r="A16" s="34" t="str">
        <x:v>Capacity by Zone</x:v>
      </x:c>
    </x:row>
    <x:row r="17">
      <x:c r="A17" s="6" t="str">
        <x:v>Zone</x:v>
      </x:c>
      <x:c r="B17" s="6" t="str">
        <x:v>Rack Util %</x:v>
      </x:c>
      <x:c r="C17" s="6" t="str">
        <x:v>Power Util %</x:v>
      </x:c>
      <x:c r="D17" s="6" t="str">
        <x:v>Cooling Util %</x:v>
      </x:c>
      <x:c r="E17" s="6" t="str">
        <x:v>Risk</x:v>
      </x:c>
    </x:row>
    <x:row r="18">
      <x:c r="A18" t="str">
        <x:f>Capacity!A2</x:f>
        <x:v>Zone A</x:v>
      </x:c>
      <x:c r="B18" s="22" t="n">
        <x:f>Capacity!D2</x:f>
        <x:v>0.775</x:v>
      </x:c>
      <x:c r="C18" s="22" t="n">
        <x:f>Capacity!G2</x:f>
        <x:v>0.77</x:v>
      </x:c>
      <x:c r="D18" s="22" t="n">
        <x:f>Capacity!J2</x:f>
        <x:v>0.75</x:v>
      </x:c>
      <x:c r="E18" t="str">
        <x:f>Capacity!K2</x:f>
        <x:v>Normal</x:v>
      </x:c>
    </x:row>
    <x:row r="19">
      <x:c r="A19" t="str">
        <x:f>Capacity!A3</x:f>
        <x:v>Zone B</x:v>
      </x:c>
      <x:c r="B19" s="22" t="n">
        <x:f>Capacity!D3</x:f>
        <x:v>0.8285714285714286</x:v>
      </x:c>
      <x:c r="C19" s="22" t="n">
        <x:f>Capacity!G3</x:f>
        <x:v>0.8</x:v>
      </x:c>
      <x:c r="D19" s="22" t="n">
        <x:f>Capacity!J3</x:f>
        <x:v>0.776595744680851</x:v>
      </x:c>
      <x:c r="E19" t="str">
        <x:f>Capacity!K3</x:f>
        <x:v>Normal</x:v>
      </x:c>
    </x:row>
    <x:row r="20">
      <x:c r="A20" t="str">
        <x:f>Capacity!A4</x:f>
        <x:v>Zone C</x:v>
      </x:c>
      <x:c r="B20" s="22" t="n">
        <x:f>Capacity!D4</x:f>
        <x:v>0.7</x:v>
      </x:c>
      <x:c r="C20" s="22" t="n">
        <x:f>Capacity!G4</x:f>
        <x:v>0.65</x:v>
      </x:c>
      <x:c r="D20" s="22" t="n">
        <x:f>Capacity!J4</x:f>
        <x:v>0.6547619047619048</x:v>
      </x:c>
      <x:c r="E20" t="str">
        <x:f>Capacity!K4</x:f>
        <x:v>Normal</x:v>
      </x:c>
    </x:row>
    <x:row r="21">
      <x:c r="A21" t="str">
        <x:f>Capacity!A5</x:f>
        <x:v>Zone D</x:v>
      </x:c>
      <x:c r="B21" s="22" t="n">
        <x:f>Capacity!D5</x:f>
        <x:v>0.72</x:v>
      </x:c>
      <x:c r="C21" s="22" t="n">
        <x:f>Capacity!G5</x:f>
        <x:v>0.7</x:v>
      </x:c>
      <x:c r="D21" s="22" t="n">
        <x:f>Capacity!J5</x:f>
        <x:v>0.703125</x:v>
      </x:c>
      <x:c r="E21" t="str">
        <x:f>Capacity!K5</x:f>
        <x:v>Normal</x:v>
      </x:c>
    </x:row>
  </x:sheetData>
  <x:mergeCells>
    <x:mergeCell ref="A1:H1"/>
    <x:mergeCell ref="A3:H3"/>
    <x:mergeCell ref="A5:B5"/>
    <x:mergeCell ref="A6:B6"/>
    <x:mergeCell ref="A7:B7"/>
    <x:mergeCell ref="C5:D5"/>
    <x:mergeCell ref="C6:D6"/>
    <x:mergeCell ref="C7:D7"/>
    <x:mergeCell ref="E5:F5"/>
    <x:mergeCell ref="E6:F6"/>
    <x:mergeCell ref="E7:F7"/>
    <x:mergeCell ref="G5:H5"/>
    <x:mergeCell ref="G6:H6"/>
    <x:mergeCell ref="G7:H7"/>
    <x:mergeCell ref="A9:D9"/>
    <x:mergeCell ref="A16:E16"/>
  </x:mergeCells>
  <x:pageMargins left="0.7" right="0.7" top="0.75" bottom="0.75" header="0.3" footer="0.3"/>
  <x:drawing xmlns:r="http://schemas.openxmlformats.org/officeDocument/2006/relationships" r:id="R8cce40cf03af4708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6" t="str">
        <x:v>Month</x:v>
      </x:c>
      <x:c r="B1" s="6" t="str">
        <x:v>Uptime %</x:v>
      </x:c>
      <x:c r="C1" s="6" t="str">
        <x:v>MTTR Min</x:v>
      </x:c>
      <x:c r="D1" s="6" t="str">
        <x:v>MTBF Hours</x:v>
      </x:c>
      <x:c r="E1" s="6" t="str">
        <x:v>SLA Compliance %</x:v>
      </x:c>
      <x:c r="F1" s="6" t="str">
        <x:v>PM Completion %</x:v>
      </x:c>
      <x:c r="G1" s="6" t="str">
        <x:v>Repeat Incident Rate %</x:v>
      </x:c>
      <x:c r="H1" s="6" t="str">
        <x:v>Open Risk Items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2" t="n">
        <x:v>46023</x:v>
      </x:c>
      <x:c r="B2" s="14" t="n">
        <x:v>99.91</x:v>
      </x:c>
      <x:c r="C2" s="16" t="n">
        <x:v>75</x:v>
      </x:c>
      <x:c r="D2" s="16" t="n">
        <x:v>720</x:v>
      </x:c>
      <x:c r="E2" s="16" t="n">
        <x:v>94</x:v>
      </x:c>
      <x:c r="F2" s="16" t="n">
        <x:v>96</x:v>
      </x:c>
      <x:c r="G2" s="16" t="n">
        <x:v>8</x:v>
      </x:c>
      <x:c r="H2" s="16" t="n">
        <x:v>6</x:v>
      </x:c>
    </x:row>
    <x:row r="3">
      <x:c r="A3" s="12" t="n">
        <x:v>46054</x:v>
      </x:c>
      <x:c r="B3" s="14" t="n">
        <x:v>99.94</x:v>
      </x:c>
      <x:c r="C3" s="16" t="n">
        <x:v>62</x:v>
      </x:c>
      <x:c r="D3" s="16" t="n">
        <x:v>810</x:v>
      </x:c>
      <x:c r="E3" s="16" t="n">
        <x:v>96</x:v>
      </x:c>
      <x:c r="F3" s="16" t="n">
        <x:v>97</x:v>
      </x:c>
      <x:c r="G3" s="16" t="n">
        <x:v>6</x:v>
      </x:c>
      <x:c r="H3" s="16" t="n">
        <x:v>5</x:v>
      </x:c>
    </x:row>
    <x:row r="4">
      <x:c r="A4" s="12" t="n">
        <x:v>46082</x:v>
      </x:c>
      <x:c r="B4" s="14" t="n">
        <x:v>99.96</x:v>
      </x:c>
      <x:c r="C4" s="16" t="n">
        <x:v>54</x:v>
      </x:c>
      <x:c r="D4" s="16" t="n">
        <x:v>900</x:v>
      </x:c>
      <x:c r="E4" s="16" t="n">
        <x:v>97</x:v>
      </x:c>
      <x:c r="F4" s="16" t="n">
        <x:v>98</x:v>
      </x:c>
      <x:c r="G4" s="16" t="n">
        <x:v>4</x:v>
      </x:c>
      <x:c r="H4" s="16" t="n">
        <x:v>4</x:v>
      </x:c>
    </x:row>
    <x:row r="5">
      <x:c r="A5" s="12" t="n">
        <x:v>46113</x:v>
      </x:c>
      <x:c r="B5" s="14" t="n">
        <x:v>99.97</x:v>
      </x:c>
      <x:c r="C5" s="16" t="n">
        <x:v>48</x:v>
      </x:c>
      <x:c r="D5" s="16" t="n">
        <x:v>980</x:v>
      </x:c>
      <x:c r="E5" s="16" t="n">
        <x:v>98</x:v>
      </x:c>
      <x:c r="F5" s="16" t="n">
        <x:v>99</x:v>
      </x:c>
      <x:c r="G5" s="16" t="n">
        <x:v>3</x:v>
      </x:c>
      <x:c r="H5" s="16" t="n">
        <x:v>3</x:v>
      </x:c>
    </x:row>
    <x:row r="6">
      <x:c r="A6" s="12"/>
      <x:c r="B6" s="14"/>
      <x:c r="C6" s="16"/>
      <x:c r="D6" s="16"/>
      <x:c r="E6" s="16"/>
      <x:c r="F6" s="16"/>
      <x:c r="G6" s="16"/>
      <x:c r="H6" s="16"/>
    </x:row>
    <x:row r="7">
      <x:c r="A7" s="12"/>
      <x:c r="B7" s="14"/>
      <x:c r="C7" s="16"/>
      <x:c r="D7" s="16"/>
      <x:c r="E7" s="16"/>
      <x:c r="F7" s="16"/>
      <x:c r="G7" s="16"/>
      <x:c r="H7" s="16"/>
    </x:row>
    <x:row r="8">
      <x:c r="A8" s="12"/>
      <x:c r="B8" s="14"/>
      <x:c r="C8" s="16"/>
      <x:c r="D8" s="16"/>
      <x:c r="E8" s="16"/>
      <x:c r="F8" s="16"/>
      <x:c r="G8" s="16"/>
      <x:c r="H8" s="16"/>
    </x:row>
    <x:row r="9">
      <x:c r="A9" s="12"/>
      <x:c r="B9" s="14"/>
      <x:c r="C9" s="16"/>
      <x:c r="D9" s="16"/>
      <x:c r="E9" s="16"/>
      <x:c r="F9" s="16"/>
      <x:c r="G9" s="16"/>
      <x:c r="H9" s="16"/>
    </x:row>
    <x:row r="10">
      <x:c r="A10" s="12"/>
      <x:c r="B10" s="14"/>
      <x:c r="C10" s="16"/>
      <x:c r="D10" s="16"/>
      <x:c r="E10" s="16"/>
      <x:c r="F10" s="16"/>
      <x:c r="G10" s="16"/>
      <x:c r="H10" s="16"/>
    </x:row>
    <x:row r="11">
      <x:c r="A11" s="12"/>
      <x:c r="B11" s="14"/>
      <x:c r="C11" s="16"/>
      <x:c r="D11" s="16"/>
      <x:c r="E11" s="16"/>
      <x:c r="F11" s="16"/>
      <x:c r="G11" s="16"/>
      <x:c r="H11" s="16"/>
    </x:row>
    <x:row r="12">
      <x:c r="A12" s="12"/>
      <x:c r="B12" s="14"/>
      <x:c r="C12" s="16"/>
      <x:c r="D12" s="16"/>
      <x:c r="E12" s="16"/>
      <x:c r="F12" s="16"/>
      <x:c r="G12" s="16"/>
      <x:c r="H12" s="16"/>
    </x:row>
    <x:row r="13">
      <x:c r="A13" s="12"/>
      <x:c r="B13" s="14"/>
      <x:c r="C13" s="16"/>
      <x:c r="D13" s="16"/>
      <x:c r="E13" s="16"/>
      <x:c r="F13" s="16"/>
      <x:c r="G13" s="16"/>
      <x:c r="H13" s="16"/>
    </x:row>
    <x:row r="14">
      <x:c r="A14" s="12"/>
      <x:c r="B14" s="14"/>
      <x:c r="C14" s="16"/>
      <x:c r="D14" s="16"/>
      <x:c r="E14" s="16"/>
      <x:c r="F14" s="16"/>
      <x:c r="G14" s="16"/>
      <x:c r="H14" s="16"/>
    </x:row>
    <x:row r="15">
      <x:c r="A15" s="12"/>
      <x:c r="B15" s="14"/>
      <x:c r="C15" s="16"/>
      <x:c r="D15" s="16"/>
      <x:c r="E15" s="16"/>
      <x:c r="F15" s="16"/>
      <x:c r="G15" s="16"/>
      <x:c r="H15" s="16"/>
    </x:row>
    <x:row r="16">
      <x:c r="A16" s="12"/>
      <x:c r="B16" s="14"/>
      <x:c r="C16" s="16"/>
      <x:c r="D16" s="16"/>
      <x:c r="E16" s="16"/>
      <x:c r="F16" s="16"/>
      <x:c r="G16" s="16"/>
      <x:c r="H16" s="16"/>
    </x:row>
    <x:row r="17">
      <x:c r="A17" s="12"/>
      <x:c r="B17" s="14"/>
      <x:c r="C17" s="16"/>
      <x:c r="D17" s="16"/>
      <x:c r="E17" s="16"/>
      <x:c r="F17" s="16"/>
      <x:c r="G17" s="16"/>
      <x:c r="H17" s="16"/>
    </x:row>
    <x:row r="18">
      <x:c r="A18" s="12"/>
      <x:c r="B18" s="14"/>
      <x:c r="C18" s="16"/>
      <x:c r="D18" s="16"/>
      <x:c r="E18" s="16"/>
      <x:c r="F18" s="16"/>
      <x:c r="G18" s="16"/>
      <x:c r="H18" s="16"/>
    </x:row>
    <x:row r="19">
      <x:c r="A19" s="12"/>
      <x:c r="B19" s="14"/>
      <x:c r="C19" s="16"/>
      <x:c r="D19" s="16"/>
      <x:c r="E19" s="16"/>
      <x:c r="F19" s="16"/>
      <x:c r="G19" s="16"/>
      <x:c r="H19" s="16"/>
    </x:row>
    <x:row r="20">
      <x:c r="A20" s="12"/>
      <x:c r="B20" s="14"/>
      <x:c r="C20" s="16"/>
      <x:c r="D20" s="16"/>
      <x:c r="E20" s="16"/>
      <x:c r="F20" s="16"/>
      <x:c r="G20" s="16"/>
      <x:c r="H20" s="16"/>
    </x:row>
    <x:row r="21">
      <x:c r="A21" s="12"/>
      <x:c r="B21" s="14"/>
      <x:c r="C21" s="16"/>
      <x:c r="D21" s="16"/>
      <x:c r="E21" s="16"/>
      <x:c r="F21" s="16"/>
      <x:c r="G21" s="16"/>
      <x:c r="H21" s="16"/>
    </x:row>
    <x:row r="22">
      <x:c r="A22" s="12"/>
      <x:c r="B22" s="14"/>
      <x:c r="C22" s="16"/>
      <x:c r="D22" s="16"/>
      <x:c r="E22" s="16"/>
      <x:c r="F22" s="16"/>
      <x:c r="G22" s="16"/>
      <x:c r="H22" s="16"/>
    </x:row>
    <x:row r="23">
      <x:c r="A23" s="12"/>
      <x:c r="B23" s="14"/>
      <x:c r="C23" s="16"/>
      <x:c r="D23" s="16"/>
      <x:c r="E23" s="16"/>
      <x:c r="F23" s="16"/>
      <x:c r="G23" s="16"/>
      <x:c r="H23" s="16"/>
    </x:row>
    <x:row r="24">
      <x:c r="A24" s="12"/>
      <x:c r="B24" s="14"/>
      <x:c r="C24" s="16"/>
      <x:c r="D24" s="16"/>
      <x:c r="E24" s="16"/>
      <x:c r="F24" s="16"/>
      <x:c r="G24" s="16"/>
      <x:c r="H24" s="16"/>
    </x:row>
    <x:row r="25">
      <x:c r="A25" s="12"/>
      <x:c r="B25" s="14"/>
      <x:c r="C25" s="16"/>
      <x:c r="D25" s="16"/>
      <x:c r="E25" s="16"/>
      <x:c r="F25" s="16"/>
      <x:c r="G25" s="16"/>
      <x:c r="H25" s="16"/>
    </x:row>
    <x:row r="26">
      <x:c r="A26" s="12"/>
      <x:c r="B26" s="14"/>
      <x:c r="C26" s="16"/>
      <x:c r="D26" s="16"/>
      <x:c r="E26" s="16"/>
      <x:c r="F26" s="16"/>
      <x:c r="G26" s="16"/>
      <x:c r="H26" s="16"/>
    </x:row>
    <x:row r="27">
      <x:c r="A27" s="12"/>
      <x:c r="B27" s="14"/>
      <x:c r="C27" s="16"/>
      <x:c r="D27" s="16"/>
      <x:c r="E27" s="16"/>
      <x:c r="F27" s="16"/>
      <x:c r="G27" s="16"/>
      <x:c r="H27" s="16"/>
    </x:row>
    <x:row r="28">
      <x:c r="A28" s="12"/>
      <x:c r="B28" s="14"/>
      <x:c r="C28" s="16"/>
      <x:c r="D28" s="16"/>
      <x:c r="E28" s="16"/>
      <x:c r="F28" s="16"/>
      <x:c r="G28" s="16"/>
      <x:c r="H28" s="16"/>
    </x:row>
    <x:row r="29">
      <x:c r="A29" s="12"/>
      <x:c r="B29" s="14"/>
      <x:c r="C29" s="16"/>
      <x:c r="D29" s="16"/>
      <x:c r="E29" s="16"/>
      <x:c r="F29" s="16"/>
      <x:c r="G29" s="16"/>
      <x:c r="H29" s="16"/>
    </x:row>
    <x:row r="30">
      <x:c r="A30" s="12"/>
      <x:c r="B30" s="14"/>
      <x:c r="C30" s="16"/>
      <x:c r="D30" s="16"/>
      <x:c r="E30" s="16"/>
      <x:c r="F30" s="16"/>
      <x:c r="G30" s="16"/>
      <x:c r="H30" s="16"/>
    </x:row>
    <x:row r="31">
      <x:c r="A31" s="12"/>
      <x:c r="B31" s="14"/>
      <x:c r="C31" s="16"/>
      <x:c r="D31" s="16"/>
      <x:c r="E31" s="16"/>
      <x:c r="F31" s="16"/>
      <x:c r="G31" s="16"/>
      <x:c r="H31" s="16"/>
    </x:row>
    <x:row r="32">
      <x:c r="A32" s="12"/>
      <x:c r="B32" s="14"/>
      <x:c r="C32" s="16"/>
      <x:c r="D32" s="16"/>
      <x:c r="E32" s="16"/>
      <x:c r="F32" s="16"/>
      <x:c r="G32" s="16"/>
      <x:c r="H32" s="16"/>
    </x:row>
    <x:row r="33">
      <x:c r="A33" s="12"/>
      <x:c r="B33" s="14"/>
      <x:c r="C33" s="16"/>
      <x:c r="D33" s="16"/>
      <x:c r="E33" s="16"/>
      <x:c r="F33" s="16"/>
      <x:c r="G33" s="16"/>
      <x:c r="H33" s="16"/>
    </x:row>
    <x:row r="34">
      <x:c r="A34" s="12"/>
      <x:c r="B34" s="14"/>
      <x:c r="C34" s="16"/>
      <x:c r="D34" s="16"/>
      <x:c r="E34" s="16"/>
      <x:c r="F34" s="16"/>
      <x:c r="G34" s="16"/>
      <x:c r="H34" s="16"/>
    </x:row>
    <x:row r="35">
      <x:c r="A35" s="12"/>
      <x:c r="B35" s="14"/>
      <x:c r="C35" s="16"/>
      <x:c r="D35" s="16"/>
      <x:c r="E35" s="16"/>
      <x:c r="F35" s="16"/>
      <x:c r="G35" s="16"/>
      <x:c r="H35" s="16"/>
    </x:row>
    <x:row r="36">
      <x:c r="A36" s="12"/>
      <x:c r="B36" s="14"/>
      <x:c r="C36" s="16"/>
      <x:c r="D36" s="16"/>
      <x:c r="E36" s="16"/>
      <x:c r="F36" s="16"/>
      <x:c r="G36" s="16"/>
      <x:c r="H36" s="16"/>
    </x:row>
    <x:row r="37">
      <x:c r="A37" s="12"/>
      <x:c r="B37" s="14"/>
      <x:c r="C37" s="16"/>
      <x:c r="D37" s="16"/>
      <x:c r="E37" s="16"/>
      <x:c r="F37" s="16"/>
      <x:c r="G37" s="16"/>
      <x:c r="H37" s="16"/>
    </x:row>
    <x:row r="38">
      <x:c r="A38" s="12"/>
      <x:c r="B38" s="14"/>
      <x:c r="C38" s="16"/>
      <x:c r="D38" s="16"/>
      <x:c r="E38" s="16"/>
      <x:c r="F38" s="16"/>
      <x:c r="G38" s="16"/>
      <x:c r="H38" s="16"/>
    </x:row>
    <x:row r="39">
      <x:c r="A39" s="12"/>
      <x:c r="B39" s="14"/>
      <x:c r="C39" s="16"/>
      <x:c r="D39" s="16"/>
      <x:c r="E39" s="16"/>
      <x:c r="F39" s="16"/>
      <x:c r="G39" s="16"/>
      <x:c r="H39" s="16"/>
    </x:row>
    <x:row r="40">
      <x:c r="A40" s="12"/>
      <x:c r="B40" s="14"/>
      <x:c r="C40" s="16"/>
      <x:c r="D40" s="16"/>
      <x:c r="E40" s="16"/>
      <x:c r="F40" s="16"/>
      <x:c r="G40" s="16"/>
      <x:c r="H40" s="16"/>
    </x:row>
    <x:row r="41">
      <x:c r="A41" s="12"/>
      <x:c r="B41" s="14"/>
      <x:c r="C41" s="16"/>
      <x:c r="D41" s="16"/>
      <x:c r="E41" s="16"/>
      <x:c r="F41" s="16"/>
      <x:c r="G41" s="16"/>
      <x:c r="H41" s="16"/>
    </x:row>
    <x:row r="42">
      <x:c r="A42" s="12"/>
      <x:c r="B42" s="14"/>
      <x:c r="C42" s="16"/>
      <x:c r="D42" s="16"/>
      <x:c r="E42" s="16"/>
      <x:c r="F42" s="16"/>
      <x:c r="G42" s="16"/>
      <x:c r="H42" s="16"/>
    </x:row>
    <x:row r="43">
      <x:c r="A43" s="12"/>
      <x:c r="B43" s="14"/>
      <x:c r="C43" s="16"/>
      <x:c r="D43" s="16"/>
      <x:c r="E43" s="16"/>
      <x:c r="F43" s="16"/>
      <x:c r="G43" s="16"/>
      <x:c r="H43" s="16"/>
    </x:row>
    <x:row r="44">
      <x:c r="A44" s="12"/>
      <x:c r="B44" s="14"/>
      <x:c r="C44" s="16"/>
      <x:c r="D44" s="16"/>
      <x:c r="E44" s="16"/>
      <x:c r="F44" s="16"/>
      <x:c r="G44" s="16"/>
      <x:c r="H44" s="16"/>
    </x:row>
    <x:row r="45">
      <x:c r="A45" s="12"/>
      <x:c r="B45" s="14"/>
      <x:c r="C45" s="16"/>
      <x:c r="D45" s="16"/>
      <x:c r="E45" s="16"/>
      <x:c r="F45" s="16"/>
      <x:c r="G45" s="16"/>
      <x:c r="H45" s="16"/>
    </x:row>
    <x:row r="46">
      <x:c r="A46" s="12"/>
      <x:c r="B46" s="14"/>
      <x:c r="C46" s="16"/>
      <x:c r="D46" s="16"/>
      <x:c r="E46" s="16"/>
      <x:c r="F46" s="16"/>
      <x:c r="G46" s="16"/>
      <x:c r="H46" s="16"/>
    </x:row>
    <x:row r="47">
      <x:c r="A47" s="12"/>
      <x:c r="B47" s="14"/>
      <x:c r="C47" s="16"/>
      <x:c r="D47" s="16"/>
      <x:c r="E47" s="16"/>
      <x:c r="F47" s="16"/>
      <x:c r="G47" s="16"/>
      <x:c r="H47" s="16"/>
    </x:row>
    <x:row r="48">
      <x:c r="A48" s="12"/>
      <x:c r="B48" s="14"/>
      <x:c r="C48" s="16"/>
      <x:c r="D48" s="16"/>
      <x:c r="E48" s="16"/>
      <x:c r="F48" s="16"/>
      <x:c r="G48" s="16"/>
      <x:c r="H48" s="16"/>
    </x:row>
    <x:row r="49">
      <x:c r="A49" s="12"/>
      <x:c r="B49" s="14"/>
      <x:c r="C49" s="16"/>
      <x:c r="D49" s="16"/>
      <x:c r="E49" s="16"/>
      <x:c r="F49" s="16"/>
      <x:c r="G49" s="16"/>
      <x:c r="H49" s="16"/>
    </x:row>
    <x:row r="50">
      <x:c r="A50" s="12"/>
      <x:c r="B50" s="14"/>
      <x:c r="C50" s="16"/>
      <x:c r="D50" s="16"/>
      <x:c r="E50" s="16"/>
      <x:c r="F50" s="16"/>
      <x:c r="G50" s="16"/>
      <x:c r="H50" s="16"/>
    </x:row>
    <x:row r="51">
      <x:c r="A51" s="12"/>
      <x:c r="B51" s="14"/>
      <x:c r="C51" s="16"/>
      <x:c r="D51" s="16"/>
      <x:c r="E51" s="16"/>
      <x:c r="F51" s="16"/>
      <x:c r="G51" s="16"/>
      <x:c r="H51" s="16"/>
    </x:row>
    <x:row r="52">
      <x:c r="A52" s="12"/>
      <x:c r="B52" s="14"/>
      <x:c r="C52" s="16"/>
      <x:c r="D52" s="16"/>
      <x:c r="E52" s="16"/>
      <x:c r="F52" s="16"/>
      <x:c r="G52" s="16"/>
      <x:c r="H52" s="16"/>
    </x:row>
    <x:row r="53">
      <x:c r="A53" s="12"/>
      <x:c r="B53" s="14"/>
      <x:c r="C53" s="16"/>
      <x:c r="D53" s="16"/>
      <x:c r="E53" s="16"/>
      <x:c r="F53" s="16"/>
      <x:c r="G53" s="16"/>
      <x:c r="H53" s="16"/>
    </x:row>
    <x:row r="54">
      <x:c r="A54" s="12"/>
      <x:c r="B54" s="14"/>
      <x:c r="C54" s="16"/>
      <x:c r="D54" s="16"/>
      <x:c r="E54" s="16"/>
      <x:c r="F54" s="16"/>
      <x:c r="G54" s="16"/>
      <x:c r="H54" s="16"/>
    </x:row>
    <x:row r="55">
      <x:c r="A55" s="12"/>
      <x:c r="B55" s="14"/>
      <x:c r="C55" s="16"/>
      <x:c r="D55" s="16"/>
      <x:c r="E55" s="16"/>
      <x:c r="F55" s="16"/>
      <x:c r="G55" s="16"/>
      <x:c r="H55" s="16"/>
    </x:row>
    <x:row r="56">
      <x:c r="A56" s="12"/>
      <x:c r="B56" s="14"/>
      <x:c r="C56" s="16"/>
      <x:c r="D56" s="16"/>
      <x:c r="E56" s="16"/>
      <x:c r="F56" s="16"/>
      <x:c r="G56" s="16"/>
      <x:c r="H56" s="16"/>
    </x:row>
    <x:row r="57">
      <x:c r="A57" s="12"/>
      <x:c r="B57" s="14"/>
      <x:c r="C57" s="16"/>
      <x:c r="D57" s="16"/>
      <x:c r="E57" s="16"/>
      <x:c r="F57" s="16"/>
      <x:c r="G57" s="16"/>
      <x:c r="H57" s="16"/>
    </x:row>
    <x:row r="58">
      <x:c r="A58" s="12"/>
      <x:c r="B58" s="14"/>
      <x:c r="C58" s="16"/>
      <x:c r="D58" s="16"/>
      <x:c r="E58" s="16"/>
      <x:c r="F58" s="16"/>
      <x:c r="G58" s="16"/>
      <x:c r="H58" s="16"/>
    </x:row>
    <x:row r="59">
      <x:c r="A59" s="12"/>
      <x:c r="B59" s="14"/>
      <x:c r="C59" s="16"/>
      <x:c r="D59" s="16"/>
      <x:c r="E59" s="16"/>
      <x:c r="F59" s="16"/>
      <x:c r="G59" s="16"/>
      <x:c r="H59" s="16"/>
    </x:row>
    <x:row r="60">
      <x:c r="A60" s="12"/>
      <x:c r="B60" s="14"/>
      <x:c r="C60" s="16"/>
      <x:c r="D60" s="16"/>
      <x:c r="E60" s="16"/>
      <x:c r="F60" s="16"/>
      <x:c r="G60" s="16"/>
      <x:c r="H60" s="16"/>
    </x:row>
    <x:row r="61">
      <x:c r="A61" s="12"/>
      <x:c r="B61" s="14"/>
      <x:c r="C61" s="16"/>
      <x:c r="D61" s="16"/>
      <x:c r="E61" s="16"/>
      <x:c r="F61" s="16"/>
      <x:c r="G61" s="16"/>
      <x:c r="H61" s="16"/>
    </x:row>
    <x:row r="62">
      <x:c r="A62" s="12"/>
      <x:c r="B62" s="14"/>
      <x:c r="C62" s="16"/>
      <x:c r="D62" s="16"/>
      <x:c r="E62" s="16"/>
      <x:c r="F62" s="16"/>
      <x:c r="G62" s="16"/>
      <x:c r="H62" s="16"/>
    </x:row>
    <x:row r="63">
      <x:c r="A63" s="12"/>
      <x:c r="B63" s="14"/>
      <x:c r="C63" s="16"/>
      <x:c r="D63" s="16"/>
      <x:c r="E63" s="16"/>
      <x:c r="F63" s="16"/>
      <x:c r="G63" s="16"/>
      <x:c r="H63" s="16"/>
    </x:row>
    <x:row r="64">
      <x:c r="A64" s="12"/>
      <x:c r="B64" s="14"/>
      <x:c r="C64" s="16"/>
      <x:c r="D64" s="16"/>
      <x:c r="E64" s="16"/>
      <x:c r="F64" s="16"/>
      <x:c r="G64" s="16"/>
      <x:c r="H64" s="16"/>
    </x:row>
    <x:row r="65">
      <x:c r="A65" s="12"/>
      <x:c r="B65" s="14"/>
      <x:c r="C65" s="16"/>
      <x:c r="D65" s="16"/>
      <x:c r="E65" s="16"/>
      <x:c r="F65" s="16"/>
      <x:c r="G65" s="16"/>
      <x:c r="H65" s="16"/>
    </x:row>
    <x:row r="66">
      <x:c r="A66" s="12"/>
      <x:c r="B66" s="14"/>
      <x:c r="C66" s="16"/>
      <x:c r="D66" s="16"/>
      <x:c r="E66" s="16"/>
      <x:c r="F66" s="16"/>
      <x:c r="G66" s="16"/>
      <x:c r="H66" s="16"/>
    </x:row>
    <x:row r="67">
      <x:c r="A67" s="12"/>
      <x:c r="B67" s="14"/>
      <x:c r="C67" s="16"/>
      <x:c r="D67" s="16"/>
      <x:c r="E67" s="16"/>
      <x:c r="F67" s="16"/>
      <x:c r="G67" s="16"/>
      <x:c r="H67" s="16"/>
    </x:row>
    <x:row r="68">
      <x:c r="A68" s="12"/>
      <x:c r="B68" s="14"/>
      <x:c r="C68" s="16"/>
      <x:c r="D68" s="16"/>
      <x:c r="E68" s="16"/>
      <x:c r="F68" s="16"/>
      <x:c r="G68" s="16"/>
      <x:c r="H68" s="16"/>
    </x:row>
    <x:row r="69">
      <x:c r="A69" s="12"/>
      <x:c r="B69" s="14"/>
      <x:c r="C69" s="16"/>
      <x:c r="D69" s="16"/>
      <x:c r="E69" s="16"/>
      <x:c r="F69" s="16"/>
      <x:c r="G69" s="16"/>
      <x:c r="H69" s="16"/>
    </x:row>
    <x:row r="70">
      <x:c r="A70" s="12"/>
      <x:c r="B70" s="14"/>
      <x:c r="C70" s="16"/>
      <x:c r="D70" s="16"/>
      <x:c r="E70" s="16"/>
      <x:c r="F70" s="16"/>
      <x:c r="G70" s="16"/>
      <x:c r="H70" s="16"/>
    </x:row>
    <x:row r="71">
      <x:c r="A71" s="12"/>
      <x:c r="B71" s="14"/>
      <x:c r="C71" s="16"/>
      <x:c r="D71" s="16"/>
      <x:c r="E71" s="16"/>
      <x:c r="F71" s="16"/>
      <x:c r="G71" s="16"/>
      <x:c r="H71" s="16"/>
    </x:row>
    <x:row r="72">
      <x:c r="A72" s="12"/>
      <x:c r="B72" s="14"/>
      <x:c r="C72" s="16"/>
      <x:c r="D72" s="16"/>
      <x:c r="E72" s="16"/>
      <x:c r="F72" s="16"/>
      <x:c r="G72" s="16"/>
      <x:c r="H72" s="16"/>
    </x:row>
    <x:row r="73">
      <x:c r="A73" s="12"/>
      <x:c r="B73" s="14"/>
      <x:c r="C73" s="16"/>
      <x:c r="D73" s="16"/>
      <x:c r="E73" s="16"/>
      <x:c r="F73" s="16"/>
      <x:c r="G73" s="16"/>
      <x:c r="H73" s="16"/>
    </x:row>
    <x:row r="74">
      <x:c r="A74" s="12"/>
      <x:c r="B74" s="14"/>
      <x:c r="C74" s="16"/>
      <x:c r="D74" s="16"/>
      <x:c r="E74" s="16"/>
      <x:c r="F74" s="16"/>
      <x:c r="G74" s="16"/>
      <x:c r="H74" s="16"/>
    </x:row>
    <x:row r="75">
      <x:c r="A75" s="12"/>
      <x:c r="B75" s="14"/>
      <x:c r="C75" s="16"/>
      <x:c r="D75" s="16"/>
      <x:c r="E75" s="16"/>
      <x:c r="F75" s="16"/>
      <x:c r="G75" s="16"/>
      <x:c r="H75" s="16"/>
    </x:row>
    <x:row r="76">
      <x:c r="A76" s="12"/>
      <x:c r="B76" s="14"/>
      <x:c r="C76" s="16"/>
      <x:c r="D76" s="16"/>
      <x:c r="E76" s="16"/>
      <x:c r="F76" s="16"/>
      <x:c r="G76" s="16"/>
      <x:c r="H76" s="16"/>
    </x:row>
    <x:row r="77">
      <x:c r="A77" s="12"/>
      <x:c r="B77" s="14"/>
      <x:c r="C77" s="16"/>
      <x:c r="D77" s="16"/>
      <x:c r="E77" s="16"/>
      <x:c r="F77" s="16"/>
      <x:c r="G77" s="16"/>
      <x:c r="H77" s="16"/>
    </x:row>
    <x:row r="78">
      <x:c r="A78" s="12"/>
      <x:c r="B78" s="14"/>
      <x:c r="C78" s="16"/>
      <x:c r="D78" s="16"/>
      <x:c r="E78" s="16"/>
      <x:c r="F78" s="16"/>
      <x:c r="G78" s="16"/>
      <x:c r="H78" s="16"/>
    </x:row>
    <x:row r="79">
      <x:c r="A79" s="12"/>
      <x:c r="B79" s="14"/>
      <x:c r="C79" s="16"/>
      <x:c r="D79" s="16"/>
      <x:c r="E79" s="16"/>
      <x:c r="F79" s="16"/>
      <x:c r="G79" s="16"/>
      <x:c r="H79" s="16"/>
    </x:row>
    <x:row r="80">
      <x:c r="A80" s="12"/>
      <x:c r="B80" s="14"/>
      <x:c r="C80" s="16"/>
      <x:c r="D80" s="16"/>
      <x:c r="E80" s="16"/>
      <x:c r="F80" s="16"/>
      <x:c r="G80" s="16"/>
      <x:c r="H80" s="16"/>
    </x:row>
    <x:row r="81">
      <x:c r="A81" s="12"/>
      <x:c r="B81" s="14"/>
      <x:c r="C81" s="16"/>
      <x:c r="D81" s="16"/>
      <x:c r="E81" s="16"/>
      <x:c r="F81" s="16"/>
      <x:c r="G81" s="16"/>
      <x:c r="H81" s="16"/>
    </x:row>
    <x:row r="82">
      <x:c r="A82" s="12"/>
      <x:c r="B82" s="14"/>
      <x:c r="C82" s="16"/>
      <x:c r="D82" s="16"/>
      <x:c r="E82" s="16"/>
      <x:c r="F82" s="16"/>
      <x:c r="G82" s="16"/>
      <x:c r="H82" s="16"/>
    </x:row>
    <x:row r="83">
      <x:c r="A83" s="12"/>
      <x:c r="B83" s="14"/>
      <x:c r="C83" s="16"/>
      <x:c r="D83" s="16"/>
      <x:c r="E83" s="16"/>
      <x:c r="F83" s="16"/>
      <x:c r="G83" s="16"/>
      <x:c r="H83" s="16"/>
    </x:row>
    <x:row r="84">
      <x:c r="A84" s="12"/>
      <x:c r="B84" s="14"/>
      <x:c r="C84" s="16"/>
      <x:c r="D84" s="16"/>
      <x:c r="E84" s="16"/>
      <x:c r="F84" s="16"/>
      <x:c r="G84" s="16"/>
      <x:c r="H84" s="16"/>
    </x:row>
    <x:row r="85">
      <x:c r="A85" s="12"/>
      <x:c r="B85" s="14"/>
      <x:c r="C85" s="16"/>
      <x:c r="D85" s="16"/>
      <x:c r="E85" s="16"/>
      <x:c r="F85" s="16"/>
      <x:c r="G85" s="16"/>
      <x:c r="H85" s="16"/>
    </x:row>
    <x:row r="86">
      <x:c r="A86" s="12"/>
      <x:c r="B86" s="14"/>
      <x:c r="C86" s="16"/>
      <x:c r="D86" s="16"/>
      <x:c r="E86" s="16"/>
      <x:c r="F86" s="16"/>
      <x:c r="G86" s="16"/>
      <x:c r="H86" s="16"/>
    </x:row>
    <x:row r="87">
      <x:c r="A87" s="12"/>
      <x:c r="B87" s="14"/>
      <x:c r="C87" s="16"/>
      <x:c r="D87" s="16"/>
      <x:c r="E87" s="16"/>
      <x:c r="F87" s="16"/>
      <x:c r="G87" s="16"/>
      <x:c r="H87" s="16"/>
    </x:row>
    <x:row r="88">
      <x:c r="A88" s="12"/>
      <x:c r="B88" s="14"/>
      <x:c r="C88" s="16"/>
      <x:c r="D88" s="16"/>
      <x:c r="E88" s="16"/>
      <x:c r="F88" s="16"/>
      <x:c r="G88" s="16"/>
      <x:c r="H88" s="16"/>
    </x:row>
    <x:row r="89">
      <x:c r="A89" s="12"/>
      <x:c r="B89" s="14"/>
      <x:c r="C89" s="16"/>
      <x:c r="D89" s="16"/>
      <x:c r="E89" s="16"/>
      <x:c r="F89" s="16"/>
      <x:c r="G89" s="16"/>
      <x:c r="H89" s="16"/>
    </x:row>
    <x:row r="90">
      <x:c r="A90" s="12"/>
      <x:c r="B90" s="14"/>
      <x:c r="C90" s="16"/>
      <x:c r="D90" s="16"/>
      <x:c r="E90" s="16"/>
      <x:c r="F90" s="16"/>
      <x:c r="G90" s="16"/>
      <x:c r="H90" s="16"/>
    </x:row>
    <x:row r="91">
      <x:c r="A91" s="12"/>
      <x:c r="B91" s="14"/>
      <x:c r="C91" s="16"/>
      <x:c r="D91" s="16"/>
      <x:c r="E91" s="16"/>
      <x:c r="F91" s="16"/>
      <x:c r="G91" s="16"/>
      <x:c r="H91" s="16"/>
    </x:row>
    <x:row r="92">
      <x:c r="A92" s="12"/>
      <x:c r="B92" s="14"/>
      <x:c r="C92" s="16"/>
      <x:c r="D92" s="16"/>
      <x:c r="E92" s="16"/>
      <x:c r="F92" s="16"/>
      <x:c r="G92" s="16"/>
      <x:c r="H92" s="16"/>
    </x:row>
    <x:row r="93">
      <x:c r="A93" s="12"/>
      <x:c r="B93" s="14"/>
      <x:c r="C93" s="16"/>
      <x:c r="D93" s="16"/>
      <x:c r="E93" s="16"/>
      <x:c r="F93" s="16"/>
      <x:c r="G93" s="16"/>
      <x:c r="H93" s="16"/>
    </x:row>
    <x:row r="94">
      <x:c r="A94" s="12"/>
      <x:c r="B94" s="14"/>
      <x:c r="C94" s="16"/>
      <x:c r="D94" s="16"/>
      <x:c r="E94" s="16"/>
      <x:c r="F94" s="16"/>
      <x:c r="G94" s="16"/>
      <x:c r="H94" s="16"/>
    </x:row>
    <x:row r="95">
      <x:c r="A95" s="12"/>
      <x:c r="B95" s="14"/>
      <x:c r="C95" s="16"/>
      <x:c r="D95" s="16"/>
      <x:c r="E95" s="16"/>
      <x:c r="F95" s="16"/>
      <x:c r="G95" s="16"/>
      <x:c r="H95" s="16"/>
    </x:row>
    <x:row r="96">
      <x:c r="A96" s="12"/>
      <x:c r="B96" s="14"/>
      <x:c r="C96" s="16"/>
      <x:c r="D96" s="16"/>
      <x:c r="E96" s="16"/>
      <x:c r="F96" s="16"/>
      <x:c r="G96" s="16"/>
      <x:c r="H96" s="16"/>
    </x:row>
    <x:row r="97">
      <x:c r="A97" s="12"/>
      <x:c r="B97" s="14"/>
      <x:c r="C97" s="16"/>
      <x:c r="D97" s="16"/>
      <x:c r="E97" s="16"/>
      <x:c r="F97" s="16"/>
      <x:c r="G97" s="16"/>
      <x:c r="H97" s="16"/>
    </x:row>
    <x:row r="98">
      <x:c r="A98" s="12"/>
      <x:c r="B98" s="14"/>
      <x:c r="C98" s="16"/>
      <x:c r="D98" s="16"/>
      <x:c r="E98" s="16"/>
      <x:c r="F98" s="16"/>
      <x:c r="G98" s="16"/>
      <x:c r="H98" s="16"/>
    </x:row>
    <x:row r="99">
      <x:c r="A99" s="12"/>
      <x:c r="B99" s="14"/>
      <x:c r="C99" s="16"/>
      <x:c r="D99" s="16"/>
      <x:c r="E99" s="16"/>
      <x:c r="F99" s="16"/>
      <x:c r="G99" s="16"/>
      <x:c r="H99" s="16"/>
    </x:row>
    <x:row r="100">
      <x:c r="A100" s="12"/>
      <x:c r="B100" s="14"/>
      <x:c r="C100" s="16"/>
      <x:c r="D100" s="16"/>
      <x:c r="E100" s="16"/>
      <x:c r="F100" s="16"/>
      <x:c r="G100" s="16"/>
      <x:c r="H100" s="16"/>
    </x:row>
  </x:sheetData>
  <x:pageMargins left="0.7" right="0.7" top="0.75" bottom="0.75" header="0.3" footer="0.3"/>
  <x:tableParts count="1">
    <x:tablePart xmlns:r="http://schemas.openxmlformats.org/officeDocument/2006/relationships" r:id="Rb610a0dc1c904a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6" max="6" width="28" hidden="0" customWidth="1"/>
    <x:col min="10" max="10" width="30" hidden="0" customWidth="1"/>
    <x:col min="11" max="11" width="30" hidden="0" customWidth="1"/>
  </x:cols>
  <x:sheetData>
    <x:row r="1">
      <x:c r="A1" s="6" t="str">
        <x:v>Incident ID</x:v>
      </x:c>
      <x:c r="B1" s="6" t="str">
        <x:v>Date</x:v>
      </x:c>
      <x:c r="C1" s="6" t="str">
        <x:v>Severity</x:v>
      </x:c>
      <x:c r="D1" s="6" t="str">
        <x:v>Zone</x:v>
      </x:c>
      <x:c r="E1" s="6" t="str">
        <x:v>System</x:v>
      </x:c>
      <x:c r="F1" s="6" t="str">
        <x:v>Issue</x:v>
      </x:c>
      <x:c r="G1" s="6" t="str">
        <x:v>Detected By</x:v>
      </x:c>
      <x:c r="H1" s="6" t="str">
        <x:v>TTA Min</x:v>
      </x:c>
      <x:c r="I1" s="6" t="str">
        <x:v>TTR Min</x:v>
      </x:c>
      <x:c r="J1" s="6" t="str">
        <x:v>Root Cause</x:v>
      </x:c>
      <x:c r="K1" s="6" t="str">
        <x:v>Preventive Action</x:v>
      </x:c>
      <x:c r="L1" s="6" t="str">
        <x:v>Status</x:v>
      </x:c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8" t="str">
        <x:v>INC-001</x:v>
      </x:c>
      <x:c r="B2" s="20" t="n">
        <x:v>46027</x:v>
      </x:c>
      <x:c r="C2" s="18" t="str">
        <x:v>Sev 2</x:v>
      </x:c>
      <x:c r="D2" s="18" t="str">
        <x:v>Zone A</x:v>
      </x:c>
      <x:c r="E2" s="18" t="str">
        <x:v>Cooling</x:v>
      </x:c>
      <x:c r="F2" s="18" t="str">
        <x:v>Temperature above threshold</x:v>
      </x:c>
      <x:c r="G2" s="18" t="str">
        <x:v>Monitoring Alert</x:v>
      </x:c>
      <x:c r="H2" s="18" t="n">
        <x:v>8</x:v>
      </x:c>
      <x:c r="I2" s="18" t="n">
        <x:v>55</x:v>
      </x:c>
      <x:c r="J2" s="18" t="str">
        <x:v>Blocked airflow panel</x:v>
      </x:c>
      <x:c r="K2" s="18" t="str">
        <x:v>Add weekly airflow inspection</x:v>
      </x:c>
      <x:c r="L2" s="18" t="str">
        <x:v>Closed</x:v>
      </x:c>
    </x:row>
    <x:row r="3">
      <x:c r="A3" s="18" t="str">
        <x:v>INC-002</x:v>
      </x:c>
      <x:c r="B3" s="20" t="n">
        <x:v>46034</x:v>
      </x:c>
      <x:c r="C3" s="18" t="str">
        <x:v>Sev 3</x:v>
      </x:c>
      <x:c r="D3" s="18" t="str">
        <x:v>Zone C</x:v>
      </x:c>
      <x:c r="E3" s="18" t="str">
        <x:v>Power</x:v>
      </x:c>
      <x:c r="F3" s="18" t="str">
        <x:v>UPS battery warning</x:v>
      </x:c>
      <x:c r="G3" s="18" t="str">
        <x:v>Technician Check</x:v>
      </x:c>
      <x:c r="H3" s="18" t="n">
        <x:v>20</x:v>
      </x:c>
      <x:c r="I3" s="18" t="n">
        <x:v>180</x:v>
      </x:c>
      <x:c r="J3" s="18" t="str">
        <x:v>Battery degradation</x:v>
      </x:c>
      <x:c r="K3" s="18" t="str">
        <x:v>Replace battery and monthly test</x:v>
      </x:c>
      <x:c r="L3" s="18" t="str">
        <x:v>Closed</x:v>
      </x:c>
    </x:row>
    <x:row r="4">
      <x:c r="A4" s="18" t="str">
        <x:v>INC-003</x:v>
      </x:c>
      <x:c r="B4" s="20" t="n">
        <x:v>46041</x:v>
      </x:c>
      <x:c r="C4" s="18" t="str">
        <x:v>Sev 2</x:v>
      </x:c>
      <x:c r="D4" s="18" t="str">
        <x:v>Zone B</x:v>
      </x:c>
      <x:c r="E4" s="18" t="str">
        <x:v>Network</x:v>
      </x:c>
      <x:c r="F4" s="18" t="str">
        <x:v>Switch packet loss</x:v>
      </x:c>
      <x:c r="G4" s="18" t="str">
        <x:v>Monitoring Alert</x:v>
      </x:c>
      <x:c r="H4" s="18" t="n">
        <x:v>10</x:v>
      </x:c>
      <x:c r="I4" s="18" t="n">
        <x:v>75</x:v>
      </x:c>
      <x:c r="J4" s="18" t="str">
        <x:v>Firmware issue</x:v>
      </x:c>
      <x:c r="K4" s="18" t="str">
        <x:v>Schedule firmware review cycle</x:v>
      </x:c>
      <x:c r="L4" s="18" t="str">
        <x:v>Closed</x:v>
      </x:c>
    </x:row>
    <x:row r="5">
      <x:c r="A5" s="18" t="str">
        <x:v>INC-004</x:v>
      </x:c>
      <x:c r="B5" s="20" t="n">
        <x:v>46048</x:v>
      </x:c>
      <x:c r="C5" s="18" t="str">
        <x:v>Sev 4</x:v>
      </x:c>
      <x:c r="D5" s="18" t="str">
        <x:v>Zone D</x:v>
      </x:c>
      <x:c r="E5" s="18" t="str">
        <x:v>Security</x:v>
      </x:c>
      <x:c r="F5" s="18" t="str">
        <x:v>Access badge error</x:v>
      </x:c>
      <x:c r="G5" s="18" t="str">
        <x:v>Access Log</x:v>
      </x:c>
      <x:c r="H5" s="18" t="n">
        <x:v>45</x:v>
      </x:c>
      <x:c r="I5" s="18" t="n">
        <x:v>120</x:v>
      </x:c>
      <x:c r="J5" s="18" t="str">
        <x:v>Expired badge profile</x:v>
      </x:c>
      <x:c r="K5" s="18" t="str">
        <x:v>Monthly access review</x:v>
      </x:c>
      <x:c r="L5" s="18" t="str">
        <x:v>Closed</x:v>
      </x:c>
    </x:row>
    <x:row r="6">
      <x:c r="A6" s="18" t="str">
        <x:v>INC-005</x:v>
      </x:c>
      <x:c r="B6" s="20" t="n">
        <x:v>46055</x:v>
      </x:c>
      <x:c r="C6" s="18" t="str">
        <x:v>Sev 3</x:v>
      </x:c>
      <x:c r="D6" s="18" t="str">
        <x:v>Zone A</x:v>
      </x:c>
      <x:c r="E6" s="18" t="str">
        <x:v>Cooling</x:v>
      </x:c>
      <x:c r="F6" s="18" t="str">
        <x:v>Humidity out of range</x:v>
      </x:c>
      <x:c r="G6" s="18" t="str">
        <x:v>Monitoring Alert</x:v>
      </x:c>
      <x:c r="H6" s="18" t="n">
        <x:v>15</x:v>
      </x:c>
      <x:c r="I6" s="18" t="n">
        <x:v>95</x:v>
      </x:c>
      <x:c r="J6" s="18" t="str">
        <x:v>Sensor calibration drift</x:v>
      </x:c>
      <x:c r="K6" s="18" t="str">
        <x:v>Quarterly sensor calibration</x:v>
      </x:c>
      <x:c r="L6" s="18" t="str">
        <x:v>Closed</x:v>
      </x:c>
    </x:row>
    <x:row r="7">
      <x:c r="A7" s="18" t="str">
        <x:v>INC-006</x:v>
      </x:c>
      <x:c r="B7" s="20" t="n">
        <x:v>46084</x:v>
      </x:c>
      <x:c r="C7" s="18" t="str">
        <x:v>Sev 1</x:v>
      </x:c>
      <x:c r="D7" s="18" t="str">
        <x:v>Zone B</x:v>
      </x:c>
      <x:c r="E7" s="18" t="str">
        <x:v>Power</x:v>
      </x:c>
      <x:c r="F7" s="18" t="str">
        <x:v>PDU failure warning</x:v>
      </x:c>
      <x:c r="G7" s="18" t="str">
        <x:v>Monitoring Alert</x:v>
      </x:c>
      <x:c r="H7" s="18" t="n">
        <x:v>4</x:v>
      </x:c>
      <x:c r="I7" s="18" t="n">
        <x:v>50</x:v>
      </x:c>
      <x:c r="J7" s="18" t="str">
        <x:v>Aging distribution unit</x:v>
      </x:c>
      <x:c r="K7" s="18" t="str">
        <x:v>Lifecycle replacement plan</x:v>
      </x:c>
      <x:c r="L7" s="18" t="str">
        <x:v>Closed</x:v>
      </x:c>
    </x:row>
    <x:row r="8">
      <x:c r="A8" s="18" t="str">
        <x:v>INC-007</x:v>
      </x:c>
      <x:c r="B8" s="20" t="n">
        <x:v>46118</x:v>
      </x:c>
      <x:c r="C8" s="18" t="str">
        <x:v>Sev 2</x:v>
      </x:c>
      <x:c r="D8" s="18" t="str">
        <x:v>Zone C</x:v>
      </x:c>
      <x:c r="E8" s="18" t="str">
        <x:v>Network</x:v>
      </x:c>
      <x:c r="F8" s="18" t="str">
        <x:v>Latency spike</x:v>
      </x:c>
      <x:c r="G8" s="18" t="str">
        <x:v>Monitoring Alert</x:v>
      </x:c>
      <x:c r="H8" s="18" t="n">
        <x:v>6</x:v>
      </x:c>
      <x:c r="I8" s="18" t="n">
        <x:v>30</x:v>
      </x:c>
      <x:c r="J8" s="18" t="str">
        <x:v>Outdated firmware</x:v>
      </x:c>
      <x:c r="K8" s="18" t="str">
        <x:v>Quarterly firmware cycle</x:v>
      </x:c>
      <x:c r="L8" s="18" t="str">
        <x:v>Closed</x:v>
      </x:c>
    </x:row>
    <x:row r="9">
      <x:c r="A9" s="18"/>
      <x:c r="B9" s="20"/>
      <x:c r="C9" s="18"/>
      <x:c r="D9" s="18"/>
      <x:c r="E9" s="18"/>
      <x:c r="F9" s="18"/>
      <x:c r="G9" s="18"/>
      <x:c r="H9" s="18"/>
      <x:c r="I9" s="18"/>
      <x:c r="J9" s="18"/>
      <x:c r="K9" s="18"/>
      <x:c r="L9" s="18"/>
    </x:row>
    <x:row r="10">
      <x:c r="A10" s="18"/>
      <x:c r="B10" s="20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>
      <x:c r="A11" s="18"/>
      <x:c r="B11" s="20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</x:row>
    <x:row r="12">
      <x:c r="A12" s="18"/>
      <x:c r="B12" s="20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</x:row>
    <x:row r="13">
      <x:c r="A13" s="18"/>
      <x:c r="B13" s="20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</x:row>
    <x:row r="14">
      <x:c r="A14" s="18"/>
      <x:c r="B14" s="20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</x:row>
    <x:row r="15">
      <x:c r="A15" s="18"/>
      <x:c r="B15" s="20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</x:row>
    <x:row r="16">
      <x:c r="A16" s="18"/>
      <x:c r="B16" s="20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</x:row>
    <x:row r="17">
      <x:c r="A17" s="18"/>
      <x:c r="B17" s="20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</x:row>
    <x:row r="18">
      <x:c r="A18" s="18"/>
      <x:c r="B18" s="20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</x:row>
    <x:row r="19">
      <x:c r="A19" s="18"/>
      <x:c r="B19" s="20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>
      <x:c r="A20" s="18"/>
      <x:c r="B20" s="20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</x:row>
    <x:row r="21">
      <x:c r="A21" s="18"/>
      <x:c r="B21" s="20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</x:row>
    <x:row r="22">
      <x:c r="A22" s="18"/>
      <x:c r="B22" s="20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</x:row>
    <x:row r="23">
      <x:c r="A23" s="18"/>
      <x:c r="B23" s="20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</x:row>
    <x:row r="24">
      <x:c r="A24" s="18"/>
      <x:c r="B24" s="20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</x:row>
    <x:row r="25">
      <x:c r="A25" s="18"/>
      <x:c r="B25" s="20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>
      <x:c r="A26" s="18"/>
      <x:c r="B26" s="20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  <x:row r="27">
      <x:c r="A27" s="18"/>
      <x:c r="B27" s="20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</x:row>
    <x:row r="28">
      <x:c r="A28" s="18"/>
      <x:c r="B28" s="20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</x:row>
    <x:row r="29">
      <x:c r="A29" s="18"/>
      <x:c r="B29" s="20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</x:row>
    <x:row r="30">
      <x:c r="A30" s="18"/>
      <x:c r="B30" s="20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</x:row>
    <x:row r="31">
      <x:c r="A31" s="18"/>
      <x:c r="B31" s="20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</x:row>
    <x:row r="32">
      <x:c r="A32" s="18"/>
      <x:c r="B32" s="20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</x:row>
    <x:row r="33">
      <x:c r="A33" s="18"/>
      <x:c r="B33" s="20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</x:row>
    <x:row r="34">
      <x:c r="A34" s="18"/>
      <x:c r="B34" s="20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</x:row>
    <x:row r="35">
      <x:c r="A35" s="18"/>
      <x:c r="B35" s="20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</x:row>
    <x:row r="36">
      <x:c r="A36" s="18"/>
      <x:c r="B36" s="20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</x:row>
    <x:row r="37">
      <x:c r="A37" s="18"/>
      <x:c r="B37" s="20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</x:row>
    <x:row r="38">
      <x:c r="A38" s="18"/>
      <x:c r="B38" s="20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</x:row>
    <x:row r="39">
      <x:c r="A39" s="18"/>
      <x:c r="B39" s="20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</x:row>
    <x:row r="40">
      <x:c r="A40" s="18"/>
      <x:c r="B40" s="20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</x:row>
    <x:row r="41">
      <x:c r="A41" s="18"/>
      <x:c r="B41" s="20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</x:row>
    <x:row r="42">
      <x:c r="A42" s="18"/>
      <x:c r="B42" s="20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</x:row>
    <x:row r="43">
      <x:c r="A43" s="18"/>
      <x:c r="B43" s="20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</x:row>
    <x:row r="44">
      <x:c r="A44" s="18"/>
      <x:c r="B44" s="20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</x:row>
    <x:row r="45">
      <x:c r="A45" s="18"/>
      <x:c r="B45" s="20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</x:row>
    <x:row r="46">
      <x:c r="A46" s="18"/>
      <x:c r="B46" s="20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</x:row>
    <x:row r="47">
      <x:c r="A47" s="18"/>
      <x:c r="B47" s="20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</x:row>
    <x:row r="48">
      <x:c r="A48" s="18"/>
      <x:c r="B48" s="20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</x:row>
    <x:row r="49">
      <x:c r="A49" s="18"/>
      <x:c r="B49" s="20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</x:row>
    <x:row r="50">
      <x:c r="A50" s="18"/>
      <x:c r="B50" s="20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</x:row>
    <x:row r="51">
      <x:c r="A51" s="18"/>
      <x:c r="B51" s="20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</x:row>
    <x:row r="52">
      <x:c r="A52" s="18"/>
      <x:c r="B52" s="20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</x:row>
    <x:row r="53">
      <x:c r="A53" s="18"/>
      <x:c r="B53" s="20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</x:row>
    <x:row r="54">
      <x:c r="A54" s="18"/>
      <x:c r="B54" s="20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</x:row>
    <x:row r="55">
      <x:c r="A55" s="18"/>
      <x:c r="B55" s="20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</x:row>
    <x:row r="56">
      <x:c r="A56" s="18"/>
      <x:c r="B56" s="20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</x:row>
    <x:row r="57">
      <x:c r="A57" s="18"/>
      <x:c r="B57" s="20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</x:row>
    <x:row r="58">
      <x:c r="A58" s="18"/>
      <x:c r="B58" s="20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</x:row>
    <x:row r="59">
      <x:c r="A59" s="18"/>
      <x:c r="B59" s="20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</x:row>
    <x:row r="60">
      <x:c r="A60" s="18"/>
      <x:c r="B60" s="20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</x:row>
    <x:row r="61">
      <x:c r="A61" s="18"/>
      <x:c r="B61" s="20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</x:row>
    <x:row r="62">
      <x:c r="A62" s="18"/>
      <x:c r="B62" s="20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</x:row>
    <x:row r="63">
      <x:c r="A63" s="18"/>
      <x:c r="B63" s="20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</x:row>
    <x:row r="64">
      <x:c r="A64" s="18"/>
      <x:c r="B64" s="20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</x:row>
    <x:row r="65">
      <x:c r="A65" s="18"/>
      <x:c r="B65" s="20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</x:row>
    <x:row r="66">
      <x:c r="A66" s="18"/>
      <x:c r="B66" s="20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</x:row>
    <x:row r="67">
      <x:c r="A67" s="18"/>
      <x:c r="B67" s="20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</x:row>
    <x:row r="68">
      <x:c r="A68" s="18"/>
      <x:c r="B68" s="20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</x:row>
    <x:row r="69">
      <x:c r="A69" s="18"/>
      <x:c r="B69" s="20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</x:row>
    <x:row r="70">
      <x:c r="A70" s="18"/>
      <x:c r="B70" s="20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</x:row>
    <x:row r="71">
      <x:c r="A71" s="18"/>
      <x:c r="B71" s="20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</x:row>
    <x:row r="72">
      <x:c r="A72" s="18"/>
      <x:c r="B72" s="20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</x:row>
    <x:row r="73">
      <x:c r="A73" s="18"/>
      <x:c r="B73" s="20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</x:row>
    <x:row r="74">
      <x:c r="A74" s="18"/>
      <x:c r="B74" s="20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</x:row>
    <x:row r="75">
      <x:c r="A75" s="18"/>
      <x:c r="B75" s="20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</x:row>
    <x:row r="76">
      <x:c r="A76" s="18"/>
      <x:c r="B76" s="20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</x:row>
    <x:row r="77">
      <x:c r="A77" s="18"/>
      <x:c r="B77" s="20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</x:row>
    <x:row r="78">
      <x:c r="A78" s="18"/>
      <x:c r="B78" s="20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</x:row>
    <x:row r="79">
      <x:c r="A79" s="18"/>
      <x:c r="B79" s="20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</x:row>
    <x:row r="80">
      <x:c r="A80" s="18"/>
      <x:c r="B80" s="20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</x:row>
    <x:row r="81">
      <x:c r="A81" s="18"/>
      <x:c r="B81" s="20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</x:row>
    <x:row r="82">
      <x:c r="A82" s="18"/>
      <x:c r="B82" s="20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</x:row>
    <x:row r="83">
      <x:c r="A83" s="18"/>
      <x:c r="B83" s="20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</x:row>
    <x:row r="84">
      <x:c r="A84" s="18"/>
      <x:c r="B84" s="20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</x:row>
    <x:row r="85">
      <x:c r="A85" s="18"/>
      <x:c r="B85" s="20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</x:row>
    <x:row r="86">
      <x:c r="A86" s="18"/>
      <x:c r="B86" s="20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</x:row>
    <x:row r="87">
      <x:c r="A87" s="18"/>
      <x:c r="B87" s="20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</x:row>
    <x:row r="88">
      <x:c r="A88" s="18"/>
      <x:c r="B88" s="20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</x:row>
    <x:row r="89">
      <x:c r="A89" s="18"/>
      <x:c r="B89" s="20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</x:row>
    <x:row r="90">
      <x:c r="A90" s="18"/>
      <x:c r="B90" s="20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</x:row>
    <x:row r="91">
      <x:c r="A91" s="18"/>
      <x:c r="B91" s="20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</x:row>
    <x:row r="92">
      <x:c r="A92" s="18"/>
      <x:c r="B92" s="20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</x:row>
    <x:row r="93">
      <x:c r="A93" s="18"/>
      <x:c r="B93" s="20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</x:row>
    <x:row r="94">
      <x:c r="A94" s="18"/>
      <x:c r="B94" s="20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</x:row>
    <x:row r="95">
      <x:c r="A95" s="18"/>
      <x:c r="B95" s="20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</x:row>
    <x:row r="96">
      <x:c r="A96" s="18"/>
      <x:c r="B96" s="20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</x:row>
    <x:row r="97">
      <x:c r="A97" s="18"/>
      <x:c r="B97" s="20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</x:row>
    <x:row r="98">
      <x:c r="A98" s="18"/>
      <x:c r="B98" s="20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</x:row>
    <x:row r="99">
      <x:c r="A99" s="18"/>
      <x:c r="B99" s="20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</x:row>
    <x:row r="100">
      <x:c r="A100" s="18"/>
      <x:c r="B100" s="20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</x:row>
  </x:sheetData>
  <x:conditionalFormatting sqref="C2:C100">
    <x:cfRule type="expression" dxfId="0" priority="1">
      <x:formula>C2="Sev 1"</x:formula>
    </x:cfRule>
    <x:cfRule type="expression" dxfId="1" priority="2">
      <x:formula>C2="Sev 2"</x:formula>
    </x:cfRule>
  </x:conditionalFormatting>
  <x:conditionalFormatting sqref="L2:L100">
    <x:cfRule type="expression" dxfId="2" priority="3">
      <x:formula>L2="Open"</x:formula>
    </x:cfRule>
    <x:cfRule type="expression" dxfId="3" priority="4">
      <x:formula>L2="Closed"</x:formula>
    </x:cfRule>
  </x:conditionalFormatting>
  <x:dataValidations count="4">
    <x:dataValidation type="list" sqref="C2:C100">
      <x:formula1>Lists!$A$2:$A$5</x:formula1>
    </x:dataValidation>
    <x:dataValidation type="list" sqref="D2:D100">
      <x:formula1>Lists!$C$2:$C$5</x:formula1>
    </x:dataValidation>
    <x:dataValidation type="list" sqref="E2:E100">
      <x:formula1>Lists!$D$2:$D$6</x:formula1>
    </x:dataValidation>
    <x:dataValidation type="list" sqref="L2:L100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ed8ef3399e41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Zone</x:v>
      </x:c>
      <x:c r="B1" s="6" t="str">
        <x:v>Total Racks</x:v>
      </x:c>
      <x:c r="C1" s="6" t="str">
        <x:v>Used Racks</x:v>
      </x:c>
      <x:c r="D1" s="6" t="str">
        <x:v>Rack Util %</x:v>
      </x:c>
      <x:c r="E1" s="6" t="str">
        <x:v>Power Capacity kW</x:v>
      </x:c>
      <x:c r="F1" s="6" t="str">
        <x:v>Power Used kW</x:v>
      </x:c>
      <x:c r="G1" s="6" t="str">
        <x:v>Power Util %</x:v>
      </x:c>
      <x:c r="H1" s="6" t="str">
        <x:v>Cooling Capacity kW</x:v>
      </x:c>
      <x:c r="I1" s="6" t="str">
        <x:v>Cooling Used kW</x:v>
      </x:c>
      <x:c r="J1" s="6" t="str">
        <x:v>Cooling Util %</x:v>
      </x:c>
      <x:c r="K1" s="6" t="str">
        <x:v>Risk Flag</x:v>
      </x:c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Zone A</x:v>
      </x:c>
      <x:c r="B2" t="n">
        <x:v>40</x:v>
      </x:c>
      <x:c r="C2" t="n">
        <x:v>31</x:v>
      </x:c>
      <x:c r="D2" s="22" t="n">
        <x:f>C2/B2</x:f>
        <x:v>0.775</x:v>
      </x:c>
      <x:c r="E2" t="n">
        <x:v>500</x:v>
      </x:c>
      <x:c r="F2" t="n">
        <x:v>385</x:v>
      </x:c>
      <x:c r="G2" s="22" t="n">
        <x:f>F2/E2</x:f>
        <x:v>0.77</x:v>
      </x:c>
      <x:c r="H2" t="n">
        <x:v>520</x:v>
      </x:c>
      <x:c r="I2" t="n">
        <x:v>390</x:v>
      </x:c>
      <x:c r="J2" s="22" t="n">
        <x:f>I2/H2</x:f>
        <x:v>0.75</x:v>
      </x:c>
      <x:c r="K2" t="str">
        <x:f>IF(OR(D2&gt;0.85,G2&gt;0.8,J2&gt;0.8),"Review","Normal")</x:f>
        <x:v>Normal</x:v>
      </x:c>
    </x:row>
    <x:row r="3">
      <x:c r="A3" t="str">
        <x:v>Zone B</x:v>
      </x:c>
      <x:c r="B3" t="n">
        <x:v>35</x:v>
      </x:c>
      <x:c r="C3" t="n">
        <x:v>29</x:v>
      </x:c>
      <x:c r="D3" s="22" t="n">
        <x:f>C3/B3</x:f>
        <x:v>0.8285714285714286</x:v>
      </x:c>
      <x:c r="E3" t="n">
        <x:v>450</x:v>
      </x:c>
      <x:c r="F3" t="n">
        <x:v>360</x:v>
      </x:c>
      <x:c r="G3" s="22" t="n">
        <x:f>F3/E3</x:f>
        <x:v>0.8</x:v>
      </x:c>
      <x:c r="H3" t="n">
        <x:v>470</x:v>
      </x:c>
      <x:c r="I3" t="n">
        <x:v>365</x:v>
      </x:c>
      <x:c r="J3" s="22" t="n">
        <x:f>I3/H3</x:f>
        <x:v>0.776595744680851</x:v>
      </x:c>
      <x:c r="K3" t="str">
        <x:f>IF(OR(D3&gt;0.85,G3&gt;0.8,J3&gt;0.8),"Review","Normal")</x:f>
        <x:v>Normal</x:v>
      </x:c>
    </x:row>
    <x:row r="4">
      <x:c r="A4" t="str">
        <x:v>Zone C</x:v>
      </x:c>
      <x:c r="B4" t="n">
        <x:v>30</x:v>
      </x:c>
      <x:c r="C4" t="n">
        <x:v>21</x:v>
      </x:c>
      <x:c r="D4" s="22" t="n">
        <x:f>C4/B4</x:f>
        <x:v>0.7</x:v>
      </x:c>
      <x:c r="E4" t="n">
        <x:v>400</x:v>
      </x:c>
      <x:c r="F4" t="n">
        <x:v>260</x:v>
      </x:c>
      <x:c r="G4" s="22" t="n">
        <x:f>F4/E4</x:f>
        <x:v>0.65</x:v>
      </x:c>
      <x:c r="H4" t="n">
        <x:v>420</x:v>
      </x:c>
      <x:c r="I4" t="n">
        <x:v>275</x:v>
      </x:c>
      <x:c r="J4" s="22" t="n">
        <x:f>I4/H4</x:f>
        <x:v>0.6547619047619048</x:v>
      </x:c>
      <x:c r="K4" t="str">
        <x:f>IF(OR(D4&gt;0.85,G4&gt;0.8,J4&gt;0.8),"Review","Normal")</x:f>
        <x:v>Normal</x:v>
      </x:c>
    </x:row>
    <x:row r="5">
      <x:c r="A5" t="str">
        <x:v>Zone D</x:v>
      </x:c>
      <x:c r="B5" t="n">
        <x:v>25</x:v>
      </x:c>
      <x:c r="C5" t="n">
        <x:v>18</x:v>
      </x:c>
      <x:c r="D5" s="22" t="n">
        <x:f>C5/B5</x:f>
        <x:v>0.72</x:v>
      </x:c>
      <x:c r="E5" t="n">
        <x:v>300</x:v>
      </x:c>
      <x:c r="F5" t="n">
        <x:v>210</x:v>
      </x:c>
      <x:c r="G5" s="22" t="n">
        <x:f>F5/E5</x:f>
        <x:v>0.7</x:v>
      </x:c>
      <x:c r="H5" t="n">
        <x:v>320</x:v>
      </x:c>
      <x:c r="I5" t="n">
        <x:v>225</x:v>
      </x:c>
      <x:c r="J5" s="22" t="n">
        <x:f>I5/H5</x:f>
        <x:v>0.703125</x:v>
      </x:c>
      <x:c r="K5" t="str">
        <x:f>IF(OR(D5&gt;0.85,G5&gt;0.8,J5&gt;0.8),"Review","Normal")</x:f>
        <x:v>Normal</x:v>
      </x:c>
    </x:row>
    <x:row r="6">
      <x:c r="D6" s="22"/>
      <x:c r="G6" s="22"/>
      <x:c r="J6" s="22"/>
    </x:row>
    <x:row r="7">
      <x:c r="D7" s="22"/>
      <x:c r="G7" s="22"/>
      <x:c r="J7" s="22"/>
    </x:row>
    <x:row r="8">
      <x:c r="D8" s="22"/>
      <x:c r="G8" s="22"/>
      <x:c r="J8" s="22"/>
    </x:row>
    <x:row r="9">
      <x:c r="D9" s="22"/>
      <x:c r="G9" s="22"/>
      <x:c r="J9" s="22"/>
    </x:row>
    <x:row r="10">
      <x:c r="D10" s="22"/>
      <x:c r="G10" s="22"/>
      <x:c r="J10" s="22"/>
    </x:row>
    <x:row r="11">
      <x:c r="D11" s="22"/>
      <x:c r="G11" s="22"/>
      <x:c r="J11" s="22"/>
    </x:row>
    <x:row r="12">
      <x:c r="D12" s="22"/>
      <x:c r="G12" s="22"/>
      <x:c r="J12" s="22"/>
    </x:row>
    <x:row r="13">
      <x:c r="D13" s="22"/>
      <x:c r="G13" s="22"/>
      <x:c r="J13" s="22"/>
    </x:row>
    <x:row r="14">
      <x:c r="D14" s="22"/>
      <x:c r="G14" s="22"/>
      <x:c r="J14" s="22"/>
    </x:row>
    <x:row r="15">
      <x:c r="D15" s="22"/>
      <x:c r="G15" s="22"/>
      <x:c r="J15" s="22"/>
    </x:row>
    <x:row r="16">
      <x:c r="D16" s="22"/>
      <x:c r="G16" s="22"/>
      <x:c r="J16" s="22"/>
    </x:row>
    <x:row r="17">
      <x:c r="D17" s="22"/>
      <x:c r="G17" s="22"/>
      <x:c r="J17" s="22"/>
    </x:row>
    <x:row r="18">
      <x:c r="D18" s="22"/>
      <x:c r="G18" s="22"/>
      <x:c r="J18" s="22"/>
    </x:row>
    <x:row r="19">
      <x:c r="D19" s="22"/>
      <x:c r="G19" s="22"/>
      <x:c r="J19" s="22"/>
    </x:row>
    <x:row r="20">
      <x:c r="D20" s="22"/>
      <x:c r="G20" s="22"/>
      <x:c r="J20" s="22"/>
    </x:row>
    <x:row r="21">
      <x:c r="D21" s="22"/>
      <x:c r="G21" s="22"/>
      <x:c r="J21" s="22"/>
    </x:row>
    <x:row r="22">
      <x:c r="D22" s="22"/>
      <x:c r="G22" s="22"/>
      <x:c r="J22" s="22"/>
    </x:row>
    <x:row r="23">
      <x:c r="D23" s="22"/>
      <x:c r="G23" s="22"/>
      <x:c r="J23" s="22"/>
    </x:row>
    <x:row r="24">
      <x:c r="D24" s="22"/>
      <x:c r="G24" s="22"/>
      <x:c r="J24" s="22"/>
    </x:row>
    <x:row r="25">
      <x:c r="D25" s="22"/>
      <x:c r="G25" s="22"/>
      <x:c r="J25" s="22"/>
    </x:row>
    <x:row r="26">
      <x:c r="D26" s="22"/>
      <x:c r="G26" s="22"/>
      <x:c r="J26" s="22"/>
    </x:row>
    <x:row r="27">
      <x:c r="D27" s="22"/>
      <x:c r="G27" s="22"/>
      <x:c r="J27" s="22"/>
    </x:row>
    <x:row r="28">
      <x:c r="D28" s="22"/>
      <x:c r="G28" s="22"/>
      <x:c r="J28" s="22"/>
    </x:row>
    <x:row r="29">
      <x:c r="D29" s="22"/>
      <x:c r="G29" s="22"/>
      <x:c r="J29" s="22"/>
    </x:row>
    <x:row r="30">
      <x:c r="D30" s="22"/>
      <x:c r="G30" s="22"/>
      <x:c r="J30" s="22"/>
    </x:row>
    <x:row r="31">
      <x:c r="D31" s="22"/>
      <x:c r="G31" s="22"/>
      <x:c r="J31" s="22"/>
    </x:row>
    <x:row r="32">
      <x:c r="D32" s="22"/>
      <x:c r="G32" s="22"/>
      <x:c r="J32" s="22"/>
    </x:row>
    <x:row r="33">
      <x:c r="D33" s="22"/>
      <x:c r="G33" s="22"/>
      <x:c r="J33" s="22"/>
    </x:row>
    <x:row r="34">
      <x:c r="D34" s="22"/>
      <x:c r="G34" s="22"/>
      <x:c r="J34" s="22"/>
    </x:row>
    <x:row r="35">
      <x:c r="D35" s="22"/>
      <x:c r="G35" s="22"/>
      <x:c r="J35" s="22"/>
    </x:row>
    <x:row r="36">
      <x:c r="D36" s="22"/>
      <x:c r="G36" s="22"/>
      <x:c r="J36" s="22"/>
    </x:row>
    <x:row r="37">
      <x:c r="D37" s="22"/>
      <x:c r="G37" s="22"/>
      <x:c r="J37" s="22"/>
    </x:row>
    <x:row r="38">
      <x:c r="D38" s="22"/>
      <x:c r="G38" s="22"/>
      <x:c r="J38" s="22"/>
    </x:row>
    <x:row r="39">
      <x:c r="D39" s="22"/>
      <x:c r="G39" s="22"/>
      <x:c r="J39" s="22"/>
    </x:row>
    <x:row r="40">
      <x:c r="D40" s="22"/>
      <x:c r="G40" s="22"/>
      <x:c r="J40" s="22"/>
    </x:row>
    <x:row r="41">
      <x:c r="D41" s="22"/>
      <x:c r="G41" s="22"/>
      <x:c r="J41" s="22"/>
    </x:row>
    <x:row r="42">
      <x:c r="D42" s="22"/>
      <x:c r="G42" s="22"/>
      <x:c r="J42" s="22"/>
    </x:row>
    <x:row r="43">
      <x:c r="D43" s="22"/>
      <x:c r="G43" s="22"/>
      <x:c r="J43" s="22"/>
    </x:row>
    <x:row r="44">
      <x:c r="D44" s="22"/>
      <x:c r="G44" s="22"/>
      <x:c r="J44" s="22"/>
    </x:row>
    <x:row r="45">
      <x:c r="D45" s="22"/>
      <x:c r="G45" s="22"/>
      <x:c r="J45" s="22"/>
    </x:row>
    <x:row r="46">
      <x:c r="D46" s="22"/>
      <x:c r="G46" s="22"/>
      <x:c r="J46" s="22"/>
    </x:row>
    <x:row r="47">
      <x:c r="D47" s="22"/>
      <x:c r="G47" s="22"/>
      <x:c r="J47" s="22"/>
    </x:row>
    <x:row r="48">
      <x:c r="D48" s="22"/>
      <x:c r="G48" s="22"/>
      <x:c r="J48" s="22"/>
    </x:row>
    <x:row r="49">
      <x:c r="D49" s="22"/>
      <x:c r="G49" s="22"/>
      <x:c r="J49" s="22"/>
    </x:row>
    <x:row r="50">
      <x:c r="D50" s="22"/>
      <x:c r="G50" s="22"/>
      <x:c r="J50" s="22"/>
    </x:row>
    <x:row r="51">
      <x:c r="D51" s="22"/>
      <x:c r="G51" s="22"/>
      <x:c r="J51" s="22"/>
    </x:row>
    <x:row r="52">
      <x:c r="D52" s="22"/>
      <x:c r="G52" s="22"/>
      <x:c r="J52" s="22"/>
    </x:row>
    <x:row r="53">
      <x:c r="D53" s="22"/>
      <x:c r="G53" s="22"/>
      <x:c r="J53" s="22"/>
    </x:row>
    <x:row r="54">
      <x:c r="D54" s="22"/>
      <x:c r="G54" s="22"/>
      <x:c r="J54" s="22"/>
    </x:row>
    <x:row r="55">
      <x:c r="D55" s="22"/>
      <x:c r="G55" s="22"/>
      <x:c r="J55" s="22"/>
    </x:row>
    <x:row r="56">
      <x:c r="D56" s="22"/>
      <x:c r="G56" s="22"/>
      <x:c r="J56" s="22"/>
    </x:row>
    <x:row r="57">
      <x:c r="D57" s="22"/>
      <x:c r="G57" s="22"/>
      <x:c r="J57" s="22"/>
    </x:row>
    <x:row r="58">
      <x:c r="D58" s="22"/>
      <x:c r="G58" s="22"/>
      <x:c r="J58" s="22"/>
    </x:row>
    <x:row r="59">
      <x:c r="D59" s="22"/>
      <x:c r="G59" s="22"/>
      <x:c r="J59" s="22"/>
    </x:row>
    <x:row r="60">
      <x:c r="D60" s="22"/>
      <x:c r="G60" s="22"/>
      <x:c r="J60" s="22"/>
    </x:row>
    <x:row r="61">
      <x:c r="D61" s="22"/>
      <x:c r="G61" s="22"/>
      <x:c r="J61" s="22"/>
    </x:row>
    <x:row r="62">
      <x:c r="D62" s="22"/>
      <x:c r="G62" s="22"/>
      <x:c r="J62" s="22"/>
    </x:row>
    <x:row r="63">
      <x:c r="D63" s="22"/>
      <x:c r="G63" s="22"/>
      <x:c r="J63" s="22"/>
    </x:row>
    <x:row r="64">
      <x:c r="D64" s="22"/>
      <x:c r="G64" s="22"/>
      <x:c r="J64" s="22"/>
    </x:row>
    <x:row r="65">
      <x:c r="D65" s="22"/>
      <x:c r="G65" s="22"/>
      <x:c r="J65" s="22"/>
    </x:row>
    <x:row r="66">
      <x:c r="D66" s="22"/>
      <x:c r="G66" s="22"/>
      <x:c r="J66" s="22"/>
    </x:row>
    <x:row r="67">
      <x:c r="D67" s="22"/>
      <x:c r="G67" s="22"/>
      <x:c r="J67" s="22"/>
    </x:row>
    <x:row r="68">
      <x:c r="D68" s="22"/>
      <x:c r="G68" s="22"/>
      <x:c r="J68" s="22"/>
    </x:row>
    <x:row r="69">
      <x:c r="D69" s="22"/>
      <x:c r="G69" s="22"/>
      <x:c r="J69" s="22"/>
    </x:row>
    <x:row r="70">
      <x:c r="D70" s="22"/>
      <x:c r="G70" s="22"/>
      <x:c r="J70" s="22"/>
    </x:row>
    <x:row r="71">
      <x:c r="D71" s="22"/>
      <x:c r="G71" s="22"/>
      <x:c r="J71" s="22"/>
    </x:row>
    <x:row r="72">
      <x:c r="D72" s="22"/>
      <x:c r="G72" s="22"/>
      <x:c r="J72" s="22"/>
    </x:row>
    <x:row r="73">
      <x:c r="D73" s="22"/>
      <x:c r="G73" s="22"/>
      <x:c r="J73" s="22"/>
    </x:row>
    <x:row r="74">
      <x:c r="D74" s="22"/>
      <x:c r="G74" s="22"/>
      <x:c r="J74" s="22"/>
    </x:row>
    <x:row r="75">
      <x:c r="D75" s="22"/>
      <x:c r="G75" s="22"/>
      <x:c r="J75" s="22"/>
    </x:row>
    <x:row r="76">
      <x:c r="D76" s="22"/>
      <x:c r="G76" s="22"/>
      <x:c r="J76" s="22"/>
    </x:row>
    <x:row r="77">
      <x:c r="D77" s="22"/>
      <x:c r="G77" s="22"/>
      <x:c r="J77" s="22"/>
    </x:row>
    <x:row r="78">
      <x:c r="D78" s="22"/>
      <x:c r="G78" s="22"/>
      <x:c r="J78" s="22"/>
    </x:row>
    <x:row r="79">
      <x:c r="D79" s="22"/>
      <x:c r="G79" s="22"/>
      <x:c r="J79" s="22"/>
    </x:row>
    <x:row r="80">
      <x:c r="D80" s="22"/>
      <x:c r="G80" s="22"/>
      <x:c r="J80" s="22"/>
    </x:row>
    <x:row r="81">
      <x:c r="D81" s="22"/>
      <x:c r="G81" s="22"/>
      <x:c r="J81" s="22"/>
    </x:row>
    <x:row r="82">
      <x:c r="D82" s="22"/>
      <x:c r="G82" s="22"/>
      <x:c r="J82" s="22"/>
    </x:row>
    <x:row r="83">
      <x:c r="D83" s="22"/>
      <x:c r="G83" s="22"/>
      <x:c r="J83" s="22"/>
    </x:row>
    <x:row r="84">
      <x:c r="D84" s="22"/>
      <x:c r="G84" s="22"/>
      <x:c r="J84" s="22"/>
    </x:row>
    <x:row r="85">
      <x:c r="D85" s="22"/>
      <x:c r="G85" s="22"/>
      <x:c r="J85" s="22"/>
    </x:row>
    <x:row r="86">
      <x:c r="D86" s="22"/>
      <x:c r="G86" s="22"/>
      <x:c r="J86" s="22"/>
    </x:row>
    <x:row r="87">
      <x:c r="D87" s="22"/>
      <x:c r="G87" s="22"/>
      <x:c r="J87" s="22"/>
    </x:row>
    <x:row r="88">
      <x:c r="D88" s="22"/>
      <x:c r="G88" s="22"/>
      <x:c r="J88" s="22"/>
    </x:row>
    <x:row r="89">
      <x:c r="D89" s="22"/>
      <x:c r="G89" s="22"/>
      <x:c r="J89" s="22"/>
    </x:row>
    <x:row r="90">
      <x:c r="D90" s="22"/>
      <x:c r="G90" s="22"/>
      <x:c r="J90" s="22"/>
    </x:row>
    <x:row r="91">
      <x:c r="D91" s="22"/>
      <x:c r="G91" s="22"/>
      <x:c r="J91" s="22"/>
    </x:row>
    <x:row r="92">
      <x:c r="D92" s="22"/>
      <x:c r="G92" s="22"/>
      <x:c r="J92" s="22"/>
    </x:row>
    <x:row r="93">
      <x:c r="D93" s="22"/>
      <x:c r="G93" s="22"/>
      <x:c r="J93" s="22"/>
    </x:row>
    <x:row r="94">
      <x:c r="D94" s="22"/>
      <x:c r="G94" s="22"/>
      <x:c r="J94" s="22"/>
    </x:row>
    <x:row r="95">
      <x:c r="D95" s="22"/>
      <x:c r="G95" s="22"/>
      <x:c r="J95" s="22"/>
    </x:row>
    <x:row r="96">
      <x:c r="D96" s="22"/>
      <x:c r="G96" s="22"/>
      <x:c r="J96" s="22"/>
    </x:row>
    <x:row r="97">
      <x:c r="D97" s="22"/>
      <x:c r="G97" s="22"/>
      <x:c r="J97" s="22"/>
    </x:row>
    <x:row r="98">
      <x:c r="D98" s="22"/>
      <x:c r="G98" s="22"/>
      <x:c r="J98" s="22"/>
    </x:row>
    <x:row r="99">
      <x:c r="D99" s="22"/>
      <x:c r="G99" s="22"/>
      <x:c r="J99" s="22"/>
    </x:row>
    <x:row r="100">
      <x:c r="D100" s="22"/>
      <x:c r="G100" s="22"/>
      <x:c r="J100" s="22"/>
    </x:row>
  </x:sheetData>
  <x:conditionalFormatting sqref="K2:K100">
    <x:cfRule type="expression" dxfId="4" priority="1">
      <x:formula>K2="Review"</x:formula>
    </x:cfRule>
  </x:conditionalFormatting>
  <x:conditionalFormatting sqref="D2:D100">
    <x:cfRule type="dataBar" priority="2">
      <x:dataBar>
        <x:cfvo type="min"/>
        <x:cfvo type="max"/>
        <x:color rgb="1F4E79"/>
      </x:dataBar>
      <x:extLst>
        <x:ext xmlns:x14="http://schemas.microsoft.com/office/spreadsheetml/2009/9/main" uri="{B025F937-C7B1-47D3-B67F-A62EFF666E3E}">
          <x14:id>{A7D84F7A-8680-A7ED-A693-D92E6C65D0BC}</x14:id>
        </x:ext>
      </x:extLst>
    </x:cfRule>
  </x:conditionalFormatting>
  <x:conditionalFormatting sqref="G2:G100">
    <x:cfRule type="dataBar" priority="3">
      <x:dataBar>
        <x:cfvo type="min"/>
        <x:cfvo type="max"/>
        <x:color rgb="1F4E79"/>
      </x:dataBar>
      <x:extLst>
        <x:ext xmlns:x14="http://schemas.microsoft.com/office/spreadsheetml/2009/9/main" uri="{B025F937-C7B1-47D3-B67F-A62EFF666E3E}">
          <x14:id>{3F057CEF-E547-966F-AF61-384BAF178263}</x14:id>
        </x:ext>
      </x:extLst>
    </x:cfRule>
  </x:conditionalFormatting>
  <x:conditionalFormatting sqref="J2:J100">
    <x:cfRule type="dataBar" priority="4">
      <x:dataBar>
        <x:cfvo type="min"/>
        <x:cfvo type="max"/>
        <x:color rgb="1F4E79"/>
      </x:dataBar>
      <x:extLst>
        <x:ext xmlns:x14="http://schemas.microsoft.com/office/spreadsheetml/2009/9/main" uri="{B025F937-C7B1-47D3-B67F-A62EFF666E3E}">
          <x14:id>{4BBCBE4D-771A-83CC-69E1-B6A25D0220B8}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0c23305a61074f3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7D84F7A-8680-A7ED-A693-D92E6C65D0BC}">
            <x14:dataBar gradient="1">
              <x14:cfvo type="min"/>
              <x14:cfvo type="max"/>
              <x14:fillColor rgb="1F4E79"/>
            </x14:dataBar>
          </x14:cfRule>
          <xm:sqref>D2:D100</xm:sqref>
        </x14:conditionalFormatting>
        <x14:conditionalFormatting>
          <x14:cfRule type="dataBar" priority="3" id="{3F057CEF-E547-966F-AF61-384BAF178263}">
            <x14:dataBar gradient="1">
              <x14:cfvo type="min"/>
              <x14:cfvo type="max"/>
              <x14:fillColor rgb="1F4E79"/>
            </x14:dataBar>
          </x14:cfRule>
          <xm:sqref>G2:G100</xm:sqref>
        </x14:conditionalFormatting>
        <x14:conditionalFormatting>
          <x14:cfRule type="dataBar" priority="4" id="{4BBCBE4D-771A-83CC-69E1-B6A25D0220B8}">
            <x14:dataBar gradient="1">
              <x14:cfvo type="min"/>
              <x14:cfvo type="max"/>
              <x14:fillColor rgb="1F4E79"/>
            </x14:dataBar>
          </x14:cfRule>
          <xm:sqref>J2:J100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4" max="4" width="35" hidden="0" customWidth="1"/>
    <x:col min="8" max="8" width="28" hidden="0" customWidth="1"/>
  </x:cols>
  <x:sheetData>
    <x:row r="1">
      <x:c r="A1" s="6" t="str">
        <x:v>Task ID</x:v>
      </x:c>
      <x:c r="B1" s="6" t="str">
        <x:v>Frequency</x:v>
      </x:c>
      <x:c r="C1" s="6" t="str">
        <x:v>Area</x:v>
      </x:c>
      <x:c r="D1" s="6" t="str">
        <x:v>Task</x:v>
      </x:c>
      <x:c r="E1" s="6" t="str">
        <x:v>Owner</x:v>
      </x:c>
      <x:c r="F1" s="6" t="str">
        <x:v>Due Date</x:v>
      </x:c>
      <x:c r="G1" s="6" t="str">
        <x:v>Status</x:v>
      </x:c>
      <x:c r="H1" s="6" t="str">
        <x:v>Notes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t="str">
        <x:v>PM-001</x:v>
      </x:c>
      <x:c r="B2" t="str">
        <x:v>Daily</x:v>
      </x:c>
      <x:c r="C2" t="str">
        <x:v>Cooling</x:v>
      </x:c>
      <x:c r="D2" t="str">
        <x:v>Review temperature/humidity exceptions</x:v>
      </x:c>
      <x:c r="E2" t="str">
        <x:v>Ops Lead</x:v>
      </x:c>
      <x:c r="F2" s="24" t="n">
        <x:v>46142</x:v>
      </x:c>
      <x:c r="G2" t="str">
        <x:v>Complete</x:v>
      </x:c>
      <x:c r="H2" t="str"/>
    </x:row>
    <x:row r="3">
      <x:c r="A3" t="str">
        <x:v>PM-002</x:v>
      </x:c>
      <x:c r="B3" t="str">
        <x:v>Daily</x:v>
      </x:c>
      <x:c r="C3" t="str">
        <x:v>Power</x:v>
      </x:c>
      <x:c r="D3" t="str">
        <x:v>Review UPS/generator alerts</x:v>
      </x:c>
      <x:c r="E3" t="str">
        <x:v>Facilities</x:v>
      </x:c>
      <x:c r="F3" s="24" t="n">
        <x:v>46142</x:v>
      </x:c>
      <x:c r="G3" t="str">
        <x:v>Complete</x:v>
      </x:c>
      <x:c r="H3" t="str"/>
    </x:row>
    <x:row r="4">
      <x:c r="A4" t="str">
        <x:v>PM-003</x:v>
      </x:c>
      <x:c r="B4" t="str">
        <x:v>Weekly</x:v>
      </x:c>
      <x:c r="C4" t="str">
        <x:v>Capacity</x:v>
      </x:c>
      <x:c r="D4" t="str">
        <x:v>Review rack and power utilization</x:v>
      </x:c>
      <x:c r="E4" t="str">
        <x:v>Ops Lead</x:v>
      </x:c>
      <x:c r="F4" s="24" t="n">
        <x:v>46145</x:v>
      </x:c>
      <x:c r="G4" t="str">
        <x:v>In Progress</x:v>
      </x:c>
      <x:c r="H4" t="str"/>
    </x:row>
    <x:row r="5">
      <x:c r="A5" t="str">
        <x:v>PM-004</x:v>
      </x:c>
      <x:c r="B5" t="str">
        <x:v>Weekly</x:v>
      </x:c>
      <x:c r="C5" t="str">
        <x:v>Network</x:v>
      </x:c>
      <x:c r="D5" t="str">
        <x:v>Review recurring network alerts</x:v>
      </x:c>
      <x:c r="E5" t="str">
        <x:v>Network Team</x:v>
      </x:c>
      <x:c r="F5" s="24" t="n">
        <x:v>46145</x:v>
      </x:c>
      <x:c r="G5" t="str">
        <x:v>Pending</x:v>
      </x:c>
      <x:c r="H5" t="str"/>
    </x:row>
    <x:row r="6">
      <x:c r="A6" t="str">
        <x:v>PM-005</x:v>
      </x:c>
      <x:c r="B6" t="str">
        <x:v>Monthly</x:v>
      </x:c>
      <x:c r="C6" t="str">
        <x:v>Compliance</x:v>
      </x:c>
      <x:c r="D6" t="str">
        <x:v>Review access logs and change records</x:v>
      </x:c>
      <x:c r="E6" t="str">
        <x:v>Compliance</x:v>
      </x:c>
      <x:c r="F6" s="24" t="n">
        <x:v>46173</x:v>
      </x:c>
      <x:c r="G6" t="str">
        <x:v>Pending</x:v>
      </x:c>
      <x:c r="H6" t="str"/>
    </x:row>
    <x:row r="7">
      <x:c r="F7" s="24"/>
    </x:row>
    <x:row r="8">
      <x:c r="F8" s="24"/>
    </x:row>
    <x:row r="9">
      <x:c r="F9" s="24"/>
    </x:row>
    <x:row r="10">
      <x:c r="F10" s="24"/>
    </x:row>
    <x:row r="11">
      <x:c r="F11" s="24"/>
    </x:row>
    <x:row r="12">
      <x:c r="F12" s="24"/>
    </x:row>
    <x:row r="13">
      <x:c r="F13" s="24"/>
    </x:row>
    <x:row r="14">
      <x:c r="F14" s="24"/>
    </x:row>
    <x:row r="15">
      <x:c r="F15" s="24"/>
    </x:row>
    <x:row r="16">
      <x:c r="F16" s="24"/>
    </x:row>
    <x:row r="17">
      <x:c r="F17" s="24"/>
    </x:row>
    <x:row r="18">
      <x:c r="F18" s="24"/>
    </x:row>
    <x:row r="19">
      <x:c r="F19" s="24"/>
    </x:row>
    <x:row r="20">
      <x:c r="F20" s="24"/>
    </x:row>
    <x:row r="21">
      <x:c r="F21" s="24"/>
    </x:row>
    <x:row r="22">
      <x:c r="F22" s="24"/>
    </x:row>
    <x:row r="23">
      <x:c r="F23" s="24"/>
    </x:row>
    <x:row r="24">
      <x:c r="F24" s="24"/>
    </x:row>
    <x:row r="25">
      <x:c r="F25" s="24"/>
    </x:row>
    <x:row r="26">
      <x:c r="F26" s="24"/>
    </x:row>
    <x:row r="27">
      <x:c r="F27" s="24"/>
    </x:row>
    <x:row r="28">
      <x:c r="F28" s="24"/>
    </x:row>
    <x:row r="29">
      <x:c r="F29" s="24"/>
    </x:row>
    <x:row r="30">
      <x:c r="F30" s="24"/>
    </x:row>
    <x:row r="31">
      <x:c r="F31" s="24"/>
    </x:row>
    <x:row r="32">
      <x:c r="F32" s="24"/>
    </x:row>
    <x:row r="33">
      <x:c r="F33" s="24"/>
    </x:row>
    <x:row r="34">
      <x:c r="F34" s="24"/>
    </x:row>
    <x:row r="35">
      <x:c r="F35" s="24"/>
    </x:row>
    <x:row r="36">
      <x:c r="F36" s="24"/>
    </x:row>
    <x:row r="37">
      <x:c r="F37" s="24"/>
    </x:row>
    <x:row r="38">
      <x:c r="F38" s="24"/>
    </x:row>
    <x:row r="39">
      <x:c r="F39" s="24"/>
    </x:row>
    <x:row r="40">
      <x:c r="F40" s="24"/>
    </x:row>
    <x:row r="41">
      <x:c r="F41" s="24"/>
    </x:row>
    <x:row r="42">
      <x:c r="F42" s="24"/>
    </x:row>
    <x:row r="43">
      <x:c r="F43" s="24"/>
    </x:row>
    <x:row r="44">
      <x:c r="F44" s="24"/>
    </x:row>
    <x:row r="45">
      <x:c r="F45" s="24"/>
    </x:row>
    <x:row r="46">
      <x:c r="F46" s="24"/>
    </x:row>
    <x:row r="47">
      <x:c r="F47" s="24"/>
    </x:row>
    <x:row r="48">
      <x:c r="F48" s="24"/>
    </x:row>
    <x:row r="49">
      <x:c r="F49" s="24"/>
    </x:row>
    <x:row r="50">
      <x:c r="F50" s="24"/>
    </x:row>
    <x:row r="51">
      <x:c r="F51" s="24"/>
    </x:row>
    <x:row r="52">
      <x:c r="F52" s="24"/>
    </x:row>
    <x:row r="53">
      <x:c r="F53" s="24"/>
    </x:row>
    <x:row r="54">
      <x:c r="F54" s="24"/>
    </x:row>
    <x:row r="55">
      <x:c r="F55" s="24"/>
    </x:row>
    <x:row r="56">
      <x:c r="F56" s="24"/>
    </x:row>
    <x:row r="57">
      <x:c r="F57" s="24"/>
    </x:row>
    <x:row r="58">
      <x:c r="F58" s="24"/>
    </x:row>
    <x:row r="59">
      <x:c r="F59" s="24"/>
    </x:row>
    <x:row r="60">
      <x:c r="F60" s="24"/>
    </x:row>
    <x:row r="61">
      <x:c r="F61" s="24"/>
    </x:row>
    <x:row r="62">
      <x:c r="F62" s="24"/>
    </x:row>
    <x:row r="63">
      <x:c r="F63" s="24"/>
    </x:row>
    <x:row r="64">
      <x:c r="F64" s="24"/>
    </x:row>
    <x:row r="65">
      <x:c r="F65" s="24"/>
    </x:row>
    <x:row r="66">
      <x:c r="F66" s="24"/>
    </x:row>
    <x:row r="67">
      <x:c r="F67" s="24"/>
    </x:row>
    <x:row r="68">
      <x:c r="F68" s="24"/>
    </x:row>
    <x:row r="69">
      <x:c r="F69" s="24"/>
    </x:row>
    <x:row r="70">
      <x:c r="F70" s="24"/>
    </x:row>
    <x:row r="71">
      <x:c r="F71" s="24"/>
    </x:row>
    <x:row r="72">
      <x:c r="F72" s="24"/>
    </x:row>
    <x:row r="73">
      <x:c r="F73" s="24"/>
    </x:row>
    <x:row r="74">
      <x:c r="F74" s="24"/>
    </x:row>
    <x:row r="75">
      <x:c r="F75" s="24"/>
    </x:row>
    <x:row r="76">
      <x:c r="F76" s="24"/>
    </x:row>
    <x:row r="77">
      <x:c r="F77" s="24"/>
    </x:row>
    <x:row r="78">
      <x:c r="F78" s="24"/>
    </x:row>
    <x:row r="79">
      <x:c r="F79" s="24"/>
    </x:row>
    <x:row r="80">
      <x:c r="F80" s="24"/>
    </x:row>
    <x:row r="81">
      <x:c r="F81" s="24"/>
    </x:row>
    <x:row r="82">
      <x:c r="F82" s="24"/>
    </x:row>
    <x:row r="83">
      <x:c r="F83" s="24"/>
    </x:row>
    <x:row r="84">
      <x:c r="F84" s="24"/>
    </x:row>
    <x:row r="85">
      <x:c r="F85" s="24"/>
    </x:row>
    <x:row r="86">
      <x:c r="F86" s="24"/>
    </x:row>
    <x:row r="87">
      <x:c r="F87" s="24"/>
    </x:row>
    <x:row r="88">
      <x:c r="F88" s="24"/>
    </x:row>
    <x:row r="89">
      <x:c r="F89" s="24"/>
    </x:row>
    <x:row r="90">
      <x:c r="F90" s="24"/>
    </x:row>
    <x:row r="91">
      <x:c r="F91" s="24"/>
    </x:row>
    <x:row r="92">
      <x:c r="F92" s="24"/>
    </x:row>
    <x:row r="93">
      <x:c r="F93" s="24"/>
    </x:row>
    <x:row r="94">
      <x:c r="F94" s="24"/>
    </x:row>
    <x:row r="95">
      <x:c r="F95" s="24"/>
    </x:row>
    <x:row r="96">
      <x:c r="F96" s="24"/>
    </x:row>
    <x:row r="97">
      <x:c r="F97" s="24"/>
    </x:row>
    <x:row r="98">
      <x:c r="F98" s="24"/>
    </x:row>
    <x:row r="99">
      <x:c r="F99" s="24"/>
    </x:row>
    <x:row r="100">
      <x:c r="F100" s="24"/>
    </x:row>
  </x:sheetData>
  <x:conditionalFormatting sqref="G2:G100">
    <x:cfRule type="expression" dxfId="5" priority="1">
      <x:formula>G2="Overdue"</x:formula>
    </x:cfRule>
    <x:cfRule type="expression" dxfId="6" priority="2">
      <x:formula>G2="Complete"</x:formula>
    </x:cfRule>
  </x:conditionalFormatting>
  <x:dataValidations count="1">
    <x:dataValidation type="list" sqref="G2:G100">
      <x:formula1>Lists!$E$2:$E$5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18d9e14b2a4b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Severity</x:v>
      </x:c>
      <x:c r="B1" s="6" t="str">
        <x:v>Status</x:v>
      </x:c>
      <x:c r="C1" s="6" t="str">
        <x:v>Zone</x:v>
      </x:c>
      <x:c r="D1" s="6" t="str">
        <x:v>System</x:v>
      </x:c>
      <x:c r="E1" s="6" t="str">
        <x:v>PM Status</x:v>
      </x:c>
    </x:row>
    <x:row r="2">
      <x:c r="A2" t="str">
        <x:v>Sev 1</x:v>
      </x:c>
      <x:c r="B2" t="str">
        <x:v>Open</x:v>
      </x:c>
      <x:c r="C2" t="str">
        <x:v>Zone A</x:v>
      </x:c>
      <x:c r="D2" t="str">
        <x:v>Cooling</x:v>
      </x:c>
      <x:c r="E2" t="str">
        <x:v>Complete</x:v>
      </x:c>
    </x:row>
    <x:row r="3">
      <x:c r="A3" t="str">
        <x:v>Sev 2</x:v>
      </x:c>
      <x:c r="B3" t="str">
        <x:v>In Progress</x:v>
      </x:c>
      <x:c r="C3" t="str">
        <x:v>Zone B</x:v>
      </x:c>
      <x:c r="D3" t="str">
        <x:v>Power</x:v>
      </x:c>
      <x:c r="E3" t="str">
        <x:v>Pending</x:v>
      </x:c>
    </x:row>
    <x:row r="4">
      <x:c r="A4" t="str">
        <x:v>Sev 3</x:v>
      </x:c>
      <x:c r="B4" t="str">
        <x:v>Closed</x:v>
      </x:c>
      <x:c r="C4" t="str">
        <x:v>Zone C</x:v>
      </x:c>
      <x:c r="D4" t="str">
        <x:v>Network</x:v>
      </x:c>
      <x:c r="E4" t="str">
        <x:v>Overdue</x:v>
      </x:c>
    </x:row>
    <x:row r="5">
      <x:c r="A5" t="str">
        <x:v>Sev 4</x:v>
      </x:c>
      <x:c r="B5" t="str">
        <x:v>Monitoring</x:v>
      </x:c>
      <x:c r="C5" t="str">
        <x:v>Zone D</x:v>
      </x:c>
      <x:c r="D5" t="str">
        <x:v>Security</x:v>
      </x:c>
      <x:c r="E5" t="str">
        <x:v>In Progress</x:v>
      </x:c>
    </x:row>
    <x:row r="6">
      <x:c r="D6" t="str">
        <x:v>Facilities</x:v>
      </x:c>
    </x:row>
  </x:sheetData>
  <x:pageMargins left="0.7" right="0.7" top="0.75" bottom="0.75" header="0.3" footer="0.3"/>
</x:worksheet>
</file>